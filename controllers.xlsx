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git-repos\FlightSim2\"/>
    </mc:Choice>
  </mc:AlternateContent>
  <xr:revisionPtr revIDLastSave="0" documentId="13_ncr:1_{8DC37C97-194F-4CFF-AD3F-40C33C511B4A}" xr6:coauthVersionLast="47" xr6:coauthVersionMax="47" xr10:uidLastSave="{00000000-0000-0000-0000-000000000000}"/>
  <bookViews>
    <workbookView xWindow="-108" yWindow="-108" windowWidth="23256" windowHeight="12576" xr2:uid="{5142E0D6-154E-419B-A3C5-F2F6924416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2" i="1" l="1"/>
  <c r="AV2" i="1"/>
  <c r="B47" i="1"/>
  <c r="B45" i="1"/>
  <c r="AM2" i="1" s="1"/>
  <c r="AN2" i="1" s="1"/>
  <c r="B39" i="1"/>
  <c r="B40" i="1"/>
  <c r="B38" i="1"/>
  <c r="B30" i="1"/>
  <c r="B31" i="1"/>
  <c r="B29" i="1"/>
  <c r="AE2" i="1"/>
  <c r="B17" i="1"/>
  <c r="W2" i="1" s="1"/>
  <c r="Z2" i="1" s="1"/>
  <c r="AB2" i="1" s="1"/>
  <c r="V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2" i="1"/>
  <c r="S2" i="1" s="1"/>
  <c r="O3" i="1" s="1"/>
  <c r="P3" i="1" s="1"/>
  <c r="P2" i="1"/>
  <c r="J2" i="1"/>
  <c r="B9" i="1"/>
  <c r="D2" i="1"/>
  <c r="D3" i="1" s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B13" i="1"/>
  <c r="B14" i="1" s="1"/>
  <c r="AO2" i="1" l="1"/>
  <c r="AR2" i="1" s="1"/>
  <c r="AF2" i="1"/>
  <c r="AI2" i="1" s="1"/>
  <c r="AK2" i="1" s="1"/>
  <c r="AD3" i="1" s="1"/>
  <c r="AF3" i="1" s="1"/>
  <c r="B20" i="1"/>
  <c r="B19" i="1" s="1"/>
  <c r="K34" i="1" s="1"/>
  <c r="L34" i="1" s="1"/>
  <c r="K55" i="1"/>
  <c r="L55" i="1" s="1"/>
  <c r="K179" i="1"/>
  <c r="L179" i="1" s="1"/>
  <c r="K195" i="1"/>
  <c r="L195" i="1" s="1"/>
  <c r="K219" i="1"/>
  <c r="L219" i="1" s="1"/>
  <c r="K235" i="1"/>
  <c r="L235" i="1" s="1"/>
  <c r="K263" i="1"/>
  <c r="L263" i="1" s="1"/>
  <c r="K279" i="1"/>
  <c r="L279" i="1" s="1"/>
  <c r="K4" i="1"/>
  <c r="L4" i="1" s="1"/>
  <c r="K20" i="1"/>
  <c r="L20" i="1" s="1"/>
  <c r="K44" i="1"/>
  <c r="L44" i="1" s="1"/>
  <c r="K60" i="1"/>
  <c r="L60" i="1" s="1"/>
  <c r="K88" i="1"/>
  <c r="L88" i="1" s="1"/>
  <c r="K104" i="1"/>
  <c r="L104" i="1" s="1"/>
  <c r="K132" i="1"/>
  <c r="L132" i="1" s="1"/>
  <c r="K148" i="1"/>
  <c r="L148" i="1" s="1"/>
  <c r="K172" i="1"/>
  <c r="L172" i="1" s="1"/>
  <c r="K184" i="1"/>
  <c r="L184" i="1" s="1"/>
  <c r="K212" i="1"/>
  <c r="L212" i="1" s="1"/>
  <c r="K216" i="1"/>
  <c r="L216" i="1" s="1"/>
  <c r="K252" i="1"/>
  <c r="L252" i="1" s="1"/>
  <c r="K260" i="1"/>
  <c r="L260" i="1" s="1"/>
  <c r="K296" i="1"/>
  <c r="L296" i="1" s="1"/>
  <c r="K300" i="1"/>
  <c r="L300" i="1" s="1"/>
  <c r="K25" i="1"/>
  <c r="L25" i="1" s="1"/>
  <c r="K33" i="1"/>
  <c r="L33" i="1" s="1"/>
  <c r="K57" i="1"/>
  <c r="L57" i="1" s="1"/>
  <c r="K61" i="1"/>
  <c r="L61" i="1" s="1"/>
  <c r="K81" i="1"/>
  <c r="L81" i="1" s="1"/>
  <c r="K89" i="1"/>
  <c r="L89" i="1" s="1"/>
  <c r="K109" i="1"/>
  <c r="L109" i="1" s="1"/>
  <c r="K121" i="1"/>
  <c r="L121" i="1" s="1"/>
  <c r="K141" i="1"/>
  <c r="L141" i="1" s="1"/>
  <c r="K145" i="1"/>
  <c r="L145" i="1" s="1"/>
  <c r="K169" i="1"/>
  <c r="L169" i="1" s="1"/>
  <c r="K173" i="1"/>
  <c r="L173" i="1" s="1"/>
  <c r="K193" i="1"/>
  <c r="L193" i="1" s="1"/>
  <c r="K205" i="1"/>
  <c r="L205" i="1" s="1"/>
  <c r="K225" i="1"/>
  <c r="L225" i="1" s="1"/>
  <c r="K233" i="1"/>
  <c r="L233" i="1" s="1"/>
  <c r="K253" i="1"/>
  <c r="L253" i="1" s="1"/>
  <c r="K257" i="1"/>
  <c r="L257" i="1" s="1"/>
  <c r="K281" i="1"/>
  <c r="L281" i="1" s="1"/>
  <c r="K289" i="1"/>
  <c r="L289" i="1" s="1"/>
  <c r="K38" i="1"/>
  <c r="L38" i="1" s="1"/>
  <c r="K54" i="1"/>
  <c r="L54" i="1" s="1"/>
  <c r="K134" i="1"/>
  <c r="L134" i="1" s="1"/>
  <c r="K166" i="1"/>
  <c r="L166" i="1" s="1"/>
  <c r="K246" i="1"/>
  <c r="L246" i="1" s="1"/>
  <c r="K294" i="1"/>
  <c r="L294" i="1" s="1"/>
  <c r="K74" i="1"/>
  <c r="L74" i="1" s="1"/>
  <c r="K90" i="1"/>
  <c r="L90" i="1" s="1"/>
  <c r="K186" i="1"/>
  <c r="L186" i="1" s="1"/>
  <c r="K202" i="1"/>
  <c r="L202" i="1" s="1"/>
  <c r="K282" i="1"/>
  <c r="L282" i="1" s="1"/>
  <c r="K30" i="1"/>
  <c r="L30" i="1" s="1"/>
  <c r="K94" i="1"/>
  <c r="L94" i="1" s="1"/>
  <c r="K110" i="1"/>
  <c r="L110" i="1" s="1"/>
  <c r="K174" i="1"/>
  <c r="L174" i="1" s="1"/>
  <c r="K274" i="1"/>
  <c r="L274" i="1" s="1"/>
  <c r="K50" i="1"/>
  <c r="L50" i="1" s="1"/>
  <c r="K258" i="1"/>
  <c r="L258" i="1" s="1"/>
  <c r="K82" i="1"/>
  <c r="L82" i="1" s="1"/>
  <c r="K18" i="1"/>
  <c r="L18" i="1" s="1"/>
  <c r="AA2" i="1"/>
  <c r="U3" i="1"/>
  <c r="B22" i="1"/>
  <c r="F99" i="1" s="1"/>
  <c r="G99" i="1" s="1"/>
  <c r="S3" i="1"/>
  <c r="O4" i="1" s="1"/>
  <c r="K119" i="1" l="1"/>
  <c r="L119" i="1" s="1"/>
  <c r="AM3" i="1"/>
  <c r="AW2" i="1"/>
  <c r="AS2" i="1"/>
  <c r="K194" i="1"/>
  <c r="L194" i="1" s="1"/>
  <c r="K178" i="1"/>
  <c r="L178" i="1" s="1"/>
  <c r="K158" i="1"/>
  <c r="L158" i="1" s="1"/>
  <c r="K62" i="1"/>
  <c r="L62" i="1" s="1"/>
  <c r="K266" i="1"/>
  <c r="L266" i="1" s="1"/>
  <c r="K154" i="1"/>
  <c r="L154" i="1" s="1"/>
  <c r="K26" i="1"/>
  <c r="L26" i="1" s="1"/>
  <c r="K230" i="1"/>
  <c r="L230" i="1" s="1"/>
  <c r="K118" i="1"/>
  <c r="L118" i="1" s="1"/>
  <c r="K301" i="1"/>
  <c r="L301" i="1" s="1"/>
  <c r="K273" i="1"/>
  <c r="L273" i="1" s="1"/>
  <c r="K249" i="1"/>
  <c r="L249" i="1" s="1"/>
  <c r="K217" i="1"/>
  <c r="L217" i="1" s="1"/>
  <c r="K189" i="1"/>
  <c r="L189" i="1" s="1"/>
  <c r="K161" i="1"/>
  <c r="L161" i="1" s="1"/>
  <c r="K129" i="1"/>
  <c r="L129" i="1" s="1"/>
  <c r="K105" i="1"/>
  <c r="L105" i="1" s="1"/>
  <c r="K77" i="1"/>
  <c r="L77" i="1" s="1"/>
  <c r="K45" i="1"/>
  <c r="L45" i="1" s="1"/>
  <c r="K17" i="1"/>
  <c r="L17" i="1" s="1"/>
  <c r="K280" i="1"/>
  <c r="L280" i="1" s="1"/>
  <c r="K236" i="1"/>
  <c r="L236" i="1" s="1"/>
  <c r="K196" i="1"/>
  <c r="L196" i="1" s="1"/>
  <c r="K168" i="1"/>
  <c r="L168" i="1" s="1"/>
  <c r="K124" i="1"/>
  <c r="L124" i="1" s="1"/>
  <c r="K84" i="1"/>
  <c r="L84" i="1" s="1"/>
  <c r="K40" i="1"/>
  <c r="L40" i="1" s="1"/>
  <c r="K299" i="1"/>
  <c r="L299" i="1" s="1"/>
  <c r="K259" i="1"/>
  <c r="L259" i="1" s="1"/>
  <c r="K215" i="1"/>
  <c r="L215" i="1" s="1"/>
  <c r="K171" i="1"/>
  <c r="L171" i="1" s="1"/>
  <c r="K35" i="1"/>
  <c r="L35" i="1" s="1"/>
  <c r="K226" i="1"/>
  <c r="L226" i="1" s="1"/>
  <c r="K210" i="1"/>
  <c r="L210" i="1" s="1"/>
  <c r="K126" i="1"/>
  <c r="L126" i="1" s="1"/>
  <c r="K46" i="1"/>
  <c r="L46" i="1" s="1"/>
  <c r="K250" i="1"/>
  <c r="L250" i="1" s="1"/>
  <c r="K122" i="1"/>
  <c r="L122" i="1" s="1"/>
  <c r="K10" i="1"/>
  <c r="L10" i="1" s="1"/>
  <c r="K198" i="1"/>
  <c r="L198" i="1" s="1"/>
  <c r="K70" i="1"/>
  <c r="L70" i="1" s="1"/>
  <c r="K297" i="1"/>
  <c r="L297" i="1" s="1"/>
  <c r="K269" i="1"/>
  <c r="L269" i="1" s="1"/>
  <c r="K237" i="1"/>
  <c r="L237" i="1" s="1"/>
  <c r="K209" i="1"/>
  <c r="L209" i="1" s="1"/>
  <c r="K185" i="1"/>
  <c r="L185" i="1" s="1"/>
  <c r="K153" i="1"/>
  <c r="L153" i="1" s="1"/>
  <c r="K125" i="1"/>
  <c r="L125" i="1" s="1"/>
  <c r="K97" i="1"/>
  <c r="L97" i="1" s="1"/>
  <c r="K65" i="1"/>
  <c r="L65" i="1" s="1"/>
  <c r="K41" i="1"/>
  <c r="L41" i="1" s="1"/>
  <c r="K13" i="1"/>
  <c r="L13" i="1" s="1"/>
  <c r="K276" i="1"/>
  <c r="L276" i="1" s="1"/>
  <c r="K232" i="1"/>
  <c r="L232" i="1" s="1"/>
  <c r="K188" i="1"/>
  <c r="L188" i="1" s="1"/>
  <c r="K152" i="1"/>
  <c r="L152" i="1" s="1"/>
  <c r="K108" i="1"/>
  <c r="L108" i="1" s="1"/>
  <c r="K68" i="1"/>
  <c r="L68" i="1" s="1"/>
  <c r="K24" i="1"/>
  <c r="L24" i="1" s="1"/>
  <c r="K283" i="1"/>
  <c r="L283" i="1" s="1"/>
  <c r="K243" i="1"/>
  <c r="L243" i="1" s="1"/>
  <c r="K199" i="1"/>
  <c r="L199" i="1" s="1"/>
  <c r="K139" i="1"/>
  <c r="L139" i="1" s="1"/>
  <c r="K66" i="1"/>
  <c r="L66" i="1" s="1"/>
  <c r="K292" i="1"/>
  <c r="L292" i="1" s="1"/>
  <c r="K268" i="1"/>
  <c r="L268" i="1" s="1"/>
  <c r="K248" i="1"/>
  <c r="L248" i="1" s="1"/>
  <c r="K228" i="1"/>
  <c r="L228" i="1" s="1"/>
  <c r="K204" i="1"/>
  <c r="L204" i="1" s="1"/>
  <c r="K164" i="1"/>
  <c r="L164" i="1" s="1"/>
  <c r="K140" i="1"/>
  <c r="L140" i="1" s="1"/>
  <c r="K120" i="1"/>
  <c r="L120" i="1" s="1"/>
  <c r="K100" i="1"/>
  <c r="L100" i="1" s="1"/>
  <c r="K76" i="1"/>
  <c r="L76" i="1" s="1"/>
  <c r="K56" i="1"/>
  <c r="L56" i="1" s="1"/>
  <c r="K36" i="1"/>
  <c r="L36" i="1" s="1"/>
  <c r="K12" i="1"/>
  <c r="L12" i="1" s="1"/>
  <c r="K295" i="1"/>
  <c r="L295" i="1" s="1"/>
  <c r="K275" i="1"/>
  <c r="L275" i="1" s="1"/>
  <c r="K251" i="1"/>
  <c r="L251" i="1" s="1"/>
  <c r="K231" i="1"/>
  <c r="L231" i="1" s="1"/>
  <c r="K211" i="1"/>
  <c r="L211" i="1" s="1"/>
  <c r="K187" i="1"/>
  <c r="L187" i="1" s="1"/>
  <c r="K163" i="1"/>
  <c r="L163" i="1" s="1"/>
  <c r="K99" i="1"/>
  <c r="L99" i="1" s="1"/>
  <c r="K11" i="1"/>
  <c r="L11" i="1" s="1"/>
  <c r="AJ2" i="1"/>
  <c r="K146" i="1"/>
  <c r="L146" i="1" s="1"/>
  <c r="K290" i="1"/>
  <c r="L290" i="1" s="1"/>
  <c r="K242" i="1"/>
  <c r="L242" i="1" s="1"/>
  <c r="K142" i="1"/>
  <c r="L142" i="1" s="1"/>
  <c r="K78" i="1"/>
  <c r="L78" i="1" s="1"/>
  <c r="K14" i="1"/>
  <c r="L14" i="1" s="1"/>
  <c r="K218" i="1"/>
  <c r="L218" i="1" s="1"/>
  <c r="K138" i="1"/>
  <c r="L138" i="1" s="1"/>
  <c r="K58" i="1"/>
  <c r="L58" i="1" s="1"/>
  <c r="K262" i="1"/>
  <c r="L262" i="1" s="1"/>
  <c r="K182" i="1"/>
  <c r="L182" i="1" s="1"/>
  <c r="K102" i="1"/>
  <c r="L102" i="1" s="1"/>
  <c r="K6" i="1"/>
  <c r="L6" i="1" s="1"/>
  <c r="K285" i="1"/>
  <c r="L285" i="1" s="1"/>
  <c r="K265" i="1"/>
  <c r="L265" i="1" s="1"/>
  <c r="K241" i="1"/>
  <c r="L241" i="1" s="1"/>
  <c r="K221" i="1"/>
  <c r="L221" i="1" s="1"/>
  <c r="K201" i="1"/>
  <c r="L201" i="1" s="1"/>
  <c r="K177" i="1"/>
  <c r="L177" i="1" s="1"/>
  <c r="K157" i="1"/>
  <c r="L157" i="1" s="1"/>
  <c r="K137" i="1"/>
  <c r="L137" i="1" s="1"/>
  <c r="K113" i="1"/>
  <c r="L113" i="1" s="1"/>
  <c r="K93" i="1"/>
  <c r="L93" i="1" s="1"/>
  <c r="K73" i="1"/>
  <c r="L73" i="1" s="1"/>
  <c r="K49" i="1"/>
  <c r="L49" i="1" s="1"/>
  <c r="K29" i="1"/>
  <c r="L29" i="1" s="1"/>
  <c r="K9" i="1"/>
  <c r="L9" i="1" s="1"/>
  <c r="K284" i="1"/>
  <c r="L284" i="1" s="1"/>
  <c r="K264" i="1"/>
  <c r="L264" i="1" s="1"/>
  <c r="K244" i="1"/>
  <c r="L244" i="1" s="1"/>
  <c r="K220" i="1"/>
  <c r="L220" i="1" s="1"/>
  <c r="K200" i="1"/>
  <c r="L200" i="1" s="1"/>
  <c r="K180" i="1"/>
  <c r="L180" i="1" s="1"/>
  <c r="K156" i="1"/>
  <c r="L156" i="1" s="1"/>
  <c r="K136" i="1"/>
  <c r="L136" i="1" s="1"/>
  <c r="K116" i="1"/>
  <c r="L116" i="1" s="1"/>
  <c r="K92" i="1"/>
  <c r="L92" i="1" s="1"/>
  <c r="K72" i="1"/>
  <c r="L72" i="1" s="1"/>
  <c r="K52" i="1"/>
  <c r="L52" i="1" s="1"/>
  <c r="K28" i="1"/>
  <c r="L28" i="1" s="1"/>
  <c r="K8" i="1"/>
  <c r="L8" i="1" s="1"/>
  <c r="K291" i="1"/>
  <c r="L291" i="1" s="1"/>
  <c r="K267" i="1"/>
  <c r="L267" i="1" s="1"/>
  <c r="K247" i="1"/>
  <c r="L247" i="1" s="1"/>
  <c r="K227" i="1"/>
  <c r="L227" i="1" s="1"/>
  <c r="K203" i="1"/>
  <c r="L203" i="1" s="1"/>
  <c r="K183" i="1"/>
  <c r="L183" i="1" s="1"/>
  <c r="K155" i="1"/>
  <c r="L155" i="1" s="1"/>
  <c r="K75" i="1"/>
  <c r="L75" i="1" s="1"/>
  <c r="K206" i="1"/>
  <c r="L206" i="1" s="1"/>
  <c r="AE3" i="1"/>
  <c r="K135" i="1"/>
  <c r="L135" i="1" s="1"/>
  <c r="K115" i="1"/>
  <c r="L115" i="1" s="1"/>
  <c r="K91" i="1"/>
  <c r="L91" i="1" s="1"/>
  <c r="K71" i="1"/>
  <c r="L71" i="1" s="1"/>
  <c r="K51" i="1"/>
  <c r="L51" i="1" s="1"/>
  <c r="K27" i="1"/>
  <c r="L27" i="1" s="1"/>
  <c r="K7" i="1"/>
  <c r="L7" i="1" s="1"/>
  <c r="K238" i="1"/>
  <c r="L238" i="1" s="1"/>
  <c r="K190" i="1"/>
  <c r="L190" i="1" s="1"/>
  <c r="K151" i="1"/>
  <c r="L151" i="1" s="1"/>
  <c r="K131" i="1"/>
  <c r="L131" i="1" s="1"/>
  <c r="K107" i="1"/>
  <c r="L107" i="1" s="1"/>
  <c r="K87" i="1"/>
  <c r="L87" i="1" s="1"/>
  <c r="K67" i="1"/>
  <c r="L67" i="1" s="1"/>
  <c r="K43" i="1"/>
  <c r="L43" i="1" s="1"/>
  <c r="K23" i="1"/>
  <c r="L23" i="1" s="1"/>
  <c r="K3" i="1"/>
  <c r="L3" i="1" s="1"/>
  <c r="K302" i="1"/>
  <c r="L302" i="1" s="1"/>
  <c r="K222" i="1"/>
  <c r="L222" i="1" s="1"/>
  <c r="K167" i="1"/>
  <c r="L167" i="1" s="1"/>
  <c r="K147" i="1"/>
  <c r="L147" i="1" s="1"/>
  <c r="K123" i="1"/>
  <c r="L123" i="1" s="1"/>
  <c r="K103" i="1"/>
  <c r="L103" i="1" s="1"/>
  <c r="K83" i="1"/>
  <c r="L83" i="1" s="1"/>
  <c r="K59" i="1"/>
  <c r="L59" i="1" s="1"/>
  <c r="K39" i="1"/>
  <c r="L39" i="1" s="1"/>
  <c r="K19" i="1"/>
  <c r="L19" i="1" s="1"/>
  <c r="K162" i="1"/>
  <c r="L162" i="1" s="1"/>
  <c r="K114" i="1"/>
  <c r="L114" i="1" s="1"/>
  <c r="K254" i="1"/>
  <c r="L254" i="1" s="1"/>
  <c r="AH3" i="1"/>
  <c r="AG3" i="1"/>
  <c r="K298" i="1"/>
  <c r="L298" i="1" s="1"/>
  <c r="K234" i="1"/>
  <c r="L234" i="1" s="1"/>
  <c r="K170" i="1"/>
  <c r="L170" i="1" s="1"/>
  <c r="K106" i="1"/>
  <c r="L106" i="1" s="1"/>
  <c r="K42" i="1"/>
  <c r="L42" i="1" s="1"/>
  <c r="K278" i="1"/>
  <c r="L278" i="1" s="1"/>
  <c r="K214" i="1"/>
  <c r="L214" i="1" s="1"/>
  <c r="K150" i="1"/>
  <c r="L150" i="1" s="1"/>
  <c r="K86" i="1"/>
  <c r="L86" i="1" s="1"/>
  <c r="K22" i="1"/>
  <c r="L22" i="1" s="1"/>
  <c r="K293" i="1"/>
  <c r="L293" i="1" s="1"/>
  <c r="K277" i="1"/>
  <c r="L277" i="1" s="1"/>
  <c r="K261" i="1"/>
  <c r="L261" i="1" s="1"/>
  <c r="K245" i="1"/>
  <c r="L245" i="1" s="1"/>
  <c r="K229" i="1"/>
  <c r="L229" i="1" s="1"/>
  <c r="K213" i="1"/>
  <c r="L213" i="1" s="1"/>
  <c r="K197" i="1"/>
  <c r="L197" i="1" s="1"/>
  <c r="K181" i="1"/>
  <c r="L181" i="1" s="1"/>
  <c r="K165" i="1"/>
  <c r="L165" i="1" s="1"/>
  <c r="K149" i="1"/>
  <c r="L149" i="1" s="1"/>
  <c r="K133" i="1"/>
  <c r="L133" i="1" s="1"/>
  <c r="K117" i="1"/>
  <c r="L117" i="1" s="1"/>
  <c r="K101" i="1"/>
  <c r="L101" i="1" s="1"/>
  <c r="K85" i="1"/>
  <c r="L85" i="1" s="1"/>
  <c r="K69" i="1"/>
  <c r="L69" i="1" s="1"/>
  <c r="K53" i="1"/>
  <c r="L53" i="1" s="1"/>
  <c r="K37" i="1"/>
  <c r="L37" i="1" s="1"/>
  <c r="K21" i="1"/>
  <c r="L21" i="1" s="1"/>
  <c r="K5" i="1"/>
  <c r="L5" i="1" s="1"/>
  <c r="K288" i="1"/>
  <c r="L288" i="1" s="1"/>
  <c r="K272" i="1"/>
  <c r="L272" i="1" s="1"/>
  <c r="K256" i="1"/>
  <c r="L256" i="1" s="1"/>
  <c r="K240" i="1"/>
  <c r="L240" i="1" s="1"/>
  <c r="K224" i="1"/>
  <c r="L224" i="1" s="1"/>
  <c r="K208" i="1"/>
  <c r="L208" i="1" s="1"/>
  <c r="K192" i="1"/>
  <c r="L192" i="1" s="1"/>
  <c r="K176" i="1"/>
  <c r="L176" i="1" s="1"/>
  <c r="K160" i="1"/>
  <c r="L160" i="1" s="1"/>
  <c r="K144" i="1"/>
  <c r="L144" i="1" s="1"/>
  <c r="K128" i="1"/>
  <c r="L128" i="1" s="1"/>
  <c r="K112" i="1"/>
  <c r="L112" i="1" s="1"/>
  <c r="K96" i="1"/>
  <c r="L96" i="1" s="1"/>
  <c r="K80" i="1"/>
  <c r="L80" i="1" s="1"/>
  <c r="K64" i="1"/>
  <c r="L64" i="1" s="1"/>
  <c r="K48" i="1"/>
  <c r="L48" i="1" s="1"/>
  <c r="K32" i="1"/>
  <c r="L32" i="1" s="1"/>
  <c r="K16" i="1"/>
  <c r="L16" i="1" s="1"/>
  <c r="K2" i="1"/>
  <c r="K287" i="1"/>
  <c r="L287" i="1" s="1"/>
  <c r="K271" i="1"/>
  <c r="L271" i="1" s="1"/>
  <c r="K255" i="1"/>
  <c r="L255" i="1" s="1"/>
  <c r="K239" i="1"/>
  <c r="L239" i="1" s="1"/>
  <c r="K223" i="1"/>
  <c r="L223" i="1" s="1"/>
  <c r="K207" i="1"/>
  <c r="L207" i="1" s="1"/>
  <c r="K191" i="1"/>
  <c r="L191" i="1" s="1"/>
  <c r="K175" i="1"/>
  <c r="L175" i="1" s="1"/>
  <c r="K159" i="1"/>
  <c r="L159" i="1" s="1"/>
  <c r="K143" i="1"/>
  <c r="L143" i="1" s="1"/>
  <c r="K127" i="1"/>
  <c r="L127" i="1" s="1"/>
  <c r="K111" i="1"/>
  <c r="L111" i="1" s="1"/>
  <c r="K95" i="1"/>
  <c r="L95" i="1" s="1"/>
  <c r="K79" i="1"/>
  <c r="L79" i="1" s="1"/>
  <c r="K63" i="1"/>
  <c r="L63" i="1" s="1"/>
  <c r="K47" i="1"/>
  <c r="L47" i="1" s="1"/>
  <c r="K31" i="1"/>
  <c r="L31" i="1" s="1"/>
  <c r="K15" i="1"/>
  <c r="L15" i="1" s="1"/>
  <c r="K98" i="1"/>
  <c r="L98" i="1" s="1"/>
  <c r="K270" i="1"/>
  <c r="L270" i="1" s="1"/>
  <c r="K130" i="1"/>
  <c r="L130" i="1" s="1"/>
  <c r="K286" i="1"/>
  <c r="L286" i="1" s="1"/>
  <c r="F66" i="1"/>
  <c r="G66" i="1" s="1"/>
  <c r="F151" i="1"/>
  <c r="G151" i="1" s="1"/>
  <c r="F70" i="1"/>
  <c r="G70" i="1" s="1"/>
  <c r="F266" i="1"/>
  <c r="G266" i="1" s="1"/>
  <c r="F241" i="1"/>
  <c r="G241" i="1" s="1"/>
  <c r="F95" i="1"/>
  <c r="G95" i="1" s="1"/>
  <c r="F181" i="1"/>
  <c r="G181" i="1" s="1"/>
  <c r="F237" i="1"/>
  <c r="G237" i="1" s="1"/>
  <c r="F155" i="1"/>
  <c r="G155" i="1" s="1"/>
  <c r="F276" i="1"/>
  <c r="G276" i="1" s="1"/>
  <c r="V3" i="1"/>
  <c r="W3" i="1"/>
  <c r="F212" i="1"/>
  <c r="G212" i="1" s="1"/>
  <c r="F148" i="1"/>
  <c r="G148" i="1" s="1"/>
  <c r="F52" i="1"/>
  <c r="G52" i="1" s="1"/>
  <c r="F249" i="1"/>
  <c r="G249" i="1" s="1"/>
  <c r="F277" i="1"/>
  <c r="G277" i="1" s="1"/>
  <c r="F146" i="1"/>
  <c r="G146" i="1" s="1"/>
  <c r="F235" i="1"/>
  <c r="G235" i="1" s="1"/>
  <c r="F65" i="1"/>
  <c r="G65" i="1" s="1"/>
  <c r="F90" i="1"/>
  <c r="G90" i="1" s="1"/>
  <c r="F208" i="1"/>
  <c r="G208" i="1" s="1"/>
  <c r="F126" i="1"/>
  <c r="G126" i="1" s="1"/>
  <c r="F279" i="1"/>
  <c r="G279" i="1" s="1"/>
  <c r="F194" i="1"/>
  <c r="G194" i="1" s="1"/>
  <c r="F109" i="1"/>
  <c r="G109" i="1" s="1"/>
  <c r="F283" i="1"/>
  <c r="G283" i="1" s="1"/>
  <c r="F198" i="1"/>
  <c r="G198" i="1" s="1"/>
  <c r="F113" i="1"/>
  <c r="G113" i="1" s="1"/>
  <c r="F223" i="1"/>
  <c r="G223" i="1" s="1"/>
  <c r="F138" i="1"/>
  <c r="G138" i="1" s="1"/>
  <c r="F33" i="1"/>
  <c r="G33" i="1" s="1"/>
  <c r="F244" i="1"/>
  <c r="G244" i="1" s="1"/>
  <c r="F180" i="1"/>
  <c r="G180" i="1" s="1"/>
  <c r="F116" i="1"/>
  <c r="G116" i="1" s="1"/>
  <c r="F31" i="1"/>
  <c r="G31" i="1" s="1"/>
  <c r="F206" i="1"/>
  <c r="G206" i="1" s="1"/>
  <c r="F231" i="1"/>
  <c r="G231" i="1" s="1"/>
  <c r="F57" i="1"/>
  <c r="G57" i="1" s="1"/>
  <c r="F150" i="1"/>
  <c r="G150" i="1" s="1"/>
  <c r="F175" i="1"/>
  <c r="G175" i="1" s="1"/>
  <c r="F272" i="1"/>
  <c r="G272" i="1" s="1"/>
  <c r="F144" i="1"/>
  <c r="G144" i="1" s="1"/>
  <c r="F20" i="1"/>
  <c r="G20" i="1" s="1"/>
  <c r="F137" i="1"/>
  <c r="G137" i="1" s="1"/>
  <c r="F147" i="1"/>
  <c r="G147" i="1" s="1"/>
  <c r="F274" i="1"/>
  <c r="G274" i="1" s="1"/>
  <c r="F189" i="1"/>
  <c r="G189" i="1" s="1"/>
  <c r="F103" i="1"/>
  <c r="G103" i="1" s="1"/>
  <c r="F278" i="1"/>
  <c r="G278" i="1" s="1"/>
  <c r="F193" i="1"/>
  <c r="G193" i="1" s="1"/>
  <c r="F107" i="1"/>
  <c r="G107" i="1" s="1"/>
  <c r="F218" i="1"/>
  <c r="G218" i="1" s="1"/>
  <c r="F133" i="1"/>
  <c r="G133" i="1" s="1"/>
  <c r="F17" i="1"/>
  <c r="G17" i="1" s="1"/>
  <c r="F240" i="1"/>
  <c r="G240" i="1" s="1"/>
  <c r="F176" i="1"/>
  <c r="G176" i="1" s="1"/>
  <c r="F84" i="1"/>
  <c r="G84" i="1" s="1"/>
  <c r="F30" i="1"/>
  <c r="G30" i="1" s="1"/>
  <c r="F211" i="1"/>
  <c r="G211" i="1" s="1"/>
  <c r="F258" i="1"/>
  <c r="G258" i="1" s="1"/>
  <c r="F173" i="1"/>
  <c r="G173" i="1" s="1"/>
  <c r="F9" i="1"/>
  <c r="G9" i="1" s="1"/>
  <c r="F219" i="1"/>
  <c r="G219" i="1" s="1"/>
  <c r="F91" i="1"/>
  <c r="G91" i="1" s="1"/>
  <c r="F74" i="1"/>
  <c r="G74" i="1" s="1"/>
  <c r="F132" i="1"/>
  <c r="G132" i="1" s="1"/>
  <c r="F271" i="1"/>
  <c r="G271" i="1" s="1"/>
  <c r="F112" i="1"/>
  <c r="G112" i="1" s="1"/>
  <c r="F80" i="1"/>
  <c r="G80" i="1" s="1"/>
  <c r="F48" i="1"/>
  <c r="G48" i="1" s="1"/>
  <c r="F16" i="1"/>
  <c r="G16" i="1" s="1"/>
  <c r="F15" i="1"/>
  <c r="G15" i="1" s="1"/>
  <c r="F14" i="1"/>
  <c r="G14" i="1" s="1"/>
  <c r="F291" i="1"/>
  <c r="G291" i="1" s="1"/>
  <c r="F222" i="1"/>
  <c r="G222" i="1" s="1"/>
  <c r="F4" i="1"/>
  <c r="G4" i="1" s="1"/>
  <c r="F301" i="1"/>
  <c r="G301" i="1" s="1"/>
  <c r="F215" i="1"/>
  <c r="G215" i="1" s="1"/>
  <c r="F130" i="1"/>
  <c r="G130" i="1" s="1"/>
  <c r="F87" i="1"/>
  <c r="G87" i="1" s="1"/>
  <c r="F262" i="1"/>
  <c r="G262" i="1" s="1"/>
  <c r="F177" i="1"/>
  <c r="G177" i="1" s="1"/>
  <c r="F134" i="1"/>
  <c r="G134" i="1" s="1"/>
  <c r="F21" i="1"/>
  <c r="G21" i="1" s="1"/>
  <c r="F202" i="1"/>
  <c r="G202" i="1" s="1"/>
  <c r="F159" i="1"/>
  <c r="G159" i="1" s="1"/>
  <c r="F117" i="1"/>
  <c r="G117" i="1" s="1"/>
  <c r="F292" i="1"/>
  <c r="G292" i="1" s="1"/>
  <c r="F260" i="1"/>
  <c r="G260" i="1" s="1"/>
  <c r="F228" i="1"/>
  <c r="G228" i="1" s="1"/>
  <c r="F196" i="1"/>
  <c r="G196" i="1" s="1"/>
  <c r="F164" i="1"/>
  <c r="G164" i="1" s="1"/>
  <c r="F100" i="1"/>
  <c r="G100" i="1" s="1"/>
  <c r="F68" i="1"/>
  <c r="G68" i="1" s="1"/>
  <c r="F36" i="1"/>
  <c r="G36" i="1" s="1"/>
  <c r="F5" i="1"/>
  <c r="G5" i="1" s="1"/>
  <c r="F62" i="1"/>
  <c r="G62" i="1" s="1"/>
  <c r="F89" i="1"/>
  <c r="G89" i="1" s="1"/>
  <c r="F227" i="1"/>
  <c r="G227" i="1" s="1"/>
  <c r="F61" i="1"/>
  <c r="G61" i="1" s="1"/>
  <c r="F233" i="1"/>
  <c r="G233" i="1" s="1"/>
  <c r="F295" i="1"/>
  <c r="G295" i="1" s="1"/>
  <c r="F253" i="1"/>
  <c r="G253" i="1" s="1"/>
  <c r="F210" i="1"/>
  <c r="G210" i="1" s="1"/>
  <c r="F167" i="1"/>
  <c r="G167" i="1" s="1"/>
  <c r="F125" i="1"/>
  <c r="G125" i="1" s="1"/>
  <c r="F82" i="1"/>
  <c r="G82" i="1" s="1"/>
  <c r="F299" i="1"/>
  <c r="G299" i="1" s="1"/>
  <c r="F257" i="1"/>
  <c r="G257" i="1" s="1"/>
  <c r="F214" i="1"/>
  <c r="G214" i="1" s="1"/>
  <c r="F171" i="1"/>
  <c r="G171" i="1" s="1"/>
  <c r="F129" i="1"/>
  <c r="G129" i="1" s="1"/>
  <c r="F86" i="1"/>
  <c r="G86" i="1" s="1"/>
  <c r="F6" i="1"/>
  <c r="G6" i="1" s="1"/>
  <c r="F197" i="1"/>
  <c r="G197" i="1" s="1"/>
  <c r="F154" i="1"/>
  <c r="G154" i="1" s="1"/>
  <c r="F111" i="1"/>
  <c r="G111" i="1" s="1"/>
  <c r="F69" i="1"/>
  <c r="G69" i="1" s="1"/>
  <c r="F288" i="1"/>
  <c r="G288" i="1" s="1"/>
  <c r="F256" i="1"/>
  <c r="G256" i="1" s="1"/>
  <c r="F224" i="1"/>
  <c r="G224" i="1" s="1"/>
  <c r="F192" i="1"/>
  <c r="G192" i="1" s="1"/>
  <c r="F160" i="1"/>
  <c r="G160" i="1" s="1"/>
  <c r="F128" i="1"/>
  <c r="G128" i="1" s="1"/>
  <c r="F96" i="1"/>
  <c r="G96" i="1" s="1"/>
  <c r="F64" i="1"/>
  <c r="G64" i="1" s="1"/>
  <c r="F32" i="1"/>
  <c r="G32" i="1" s="1"/>
  <c r="F47" i="1"/>
  <c r="G47" i="1" s="1"/>
  <c r="F46" i="1"/>
  <c r="G46" i="1" s="1"/>
  <c r="F174" i="1"/>
  <c r="G174" i="1" s="1"/>
  <c r="F29" i="1"/>
  <c r="G29" i="1" s="1"/>
  <c r="F13" i="1"/>
  <c r="G13" i="1" s="1"/>
  <c r="F286" i="1"/>
  <c r="G286" i="1" s="1"/>
  <c r="F163" i="1"/>
  <c r="G163" i="1" s="1"/>
  <c r="F45" i="1"/>
  <c r="G45" i="1" s="1"/>
  <c r="F261" i="1"/>
  <c r="G261" i="1" s="1"/>
  <c r="F201" i="1"/>
  <c r="G201" i="1" s="1"/>
  <c r="F115" i="1"/>
  <c r="G115" i="1" s="1"/>
  <c r="F297" i="1"/>
  <c r="G297" i="1" s="1"/>
  <c r="F185" i="1"/>
  <c r="G185" i="1" s="1"/>
  <c r="F281" i="1"/>
  <c r="G281" i="1" s="1"/>
  <c r="F238" i="1"/>
  <c r="G238" i="1" s="1"/>
  <c r="F153" i="1"/>
  <c r="G153" i="1" s="1"/>
  <c r="F67" i="1"/>
  <c r="G67" i="1" s="1"/>
  <c r="F18" i="1"/>
  <c r="G18" i="1" s="1"/>
  <c r="F34" i="1"/>
  <c r="G34" i="1" s="1"/>
  <c r="F50" i="1"/>
  <c r="G50" i="1" s="1"/>
  <c r="F3" i="1"/>
  <c r="G3" i="1" s="1"/>
  <c r="F19" i="1"/>
  <c r="G19" i="1" s="1"/>
  <c r="F35" i="1"/>
  <c r="G35" i="1" s="1"/>
  <c r="F51" i="1"/>
  <c r="G51" i="1" s="1"/>
  <c r="F8" i="1"/>
  <c r="G8" i="1" s="1"/>
  <c r="F24" i="1"/>
  <c r="G24" i="1" s="1"/>
  <c r="F40" i="1"/>
  <c r="G40" i="1" s="1"/>
  <c r="F56" i="1"/>
  <c r="G56" i="1" s="1"/>
  <c r="F72" i="1"/>
  <c r="G72" i="1" s="1"/>
  <c r="F88" i="1"/>
  <c r="G88" i="1" s="1"/>
  <c r="F104" i="1"/>
  <c r="G104" i="1" s="1"/>
  <c r="F120" i="1"/>
  <c r="G120" i="1" s="1"/>
  <c r="F136" i="1"/>
  <c r="G136" i="1" s="1"/>
  <c r="F152" i="1"/>
  <c r="G152" i="1" s="1"/>
  <c r="F168" i="1"/>
  <c r="G168" i="1" s="1"/>
  <c r="F184" i="1"/>
  <c r="G184" i="1" s="1"/>
  <c r="F200" i="1"/>
  <c r="G200" i="1" s="1"/>
  <c r="F216" i="1"/>
  <c r="G216" i="1" s="1"/>
  <c r="F232" i="1"/>
  <c r="G232" i="1" s="1"/>
  <c r="F248" i="1"/>
  <c r="G248" i="1" s="1"/>
  <c r="F264" i="1"/>
  <c r="G264" i="1" s="1"/>
  <c r="F280" i="1"/>
  <c r="G280" i="1" s="1"/>
  <c r="F296" i="1"/>
  <c r="G296" i="1" s="1"/>
  <c r="F49" i="1"/>
  <c r="G49" i="1" s="1"/>
  <c r="F79" i="1"/>
  <c r="G79" i="1" s="1"/>
  <c r="F101" i="1"/>
  <c r="G101" i="1" s="1"/>
  <c r="F122" i="1"/>
  <c r="G122" i="1" s="1"/>
  <c r="F143" i="1"/>
  <c r="G143" i="1" s="1"/>
  <c r="F165" i="1"/>
  <c r="G165" i="1" s="1"/>
  <c r="F186" i="1"/>
  <c r="G186" i="1" s="1"/>
  <c r="F207" i="1"/>
  <c r="G207" i="1" s="1"/>
  <c r="F229" i="1"/>
  <c r="G229" i="1" s="1"/>
  <c r="F37" i="1"/>
  <c r="G37" i="1" s="1"/>
  <c r="F75" i="1"/>
  <c r="G75" i="1" s="1"/>
  <c r="F97" i="1"/>
  <c r="G97" i="1" s="1"/>
  <c r="F118" i="1"/>
  <c r="G118" i="1" s="1"/>
  <c r="F139" i="1"/>
  <c r="G139" i="1" s="1"/>
  <c r="F161" i="1"/>
  <c r="G161" i="1" s="1"/>
  <c r="F182" i="1"/>
  <c r="G182" i="1" s="1"/>
  <c r="F203" i="1"/>
  <c r="G203" i="1" s="1"/>
  <c r="F225" i="1"/>
  <c r="G225" i="1" s="1"/>
  <c r="F246" i="1"/>
  <c r="G246" i="1" s="1"/>
  <c r="F267" i="1"/>
  <c r="G267" i="1" s="1"/>
  <c r="F289" i="1"/>
  <c r="G289" i="1" s="1"/>
  <c r="F25" i="1"/>
  <c r="G25" i="1" s="1"/>
  <c r="F71" i="1"/>
  <c r="G71" i="1" s="1"/>
  <c r="F93" i="1"/>
  <c r="G93" i="1" s="1"/>
  <c r="F114" i="1"/>
  <c r="G114" i="1" s="1"/>
  <c r="F135" i="1"/>
  <c r="G135" i="1" s="1"/>
  <c r="F157" i="1"/>
  <c r="G157" i="1" s="1"/>
  <c r="F178" i="1"/>
  <c r="G178" i="1" s="1"/>
  <c r="F199" i="1"/>
  <c r="G199" i="1" s="1"/>
  <c r="F221" i="1"/>
  <c r="G221" i="1" s="1"/>
  <c r="F242" i="1"/>
  <c r="G242" i="1" s="1"/>
  <c r="F263" i="1"/>
  <c r="G263" i="1" s="1"/>
  <c r="F285" i="1"/>
  <c r="G285" i="1" s="1"/>
  <c r="F298" i="1"/>
  <c r="G298" i="1" s="1"/>
  <c r="F255" i="1"/>
  <c r="G255" i="1" s="1"/>
  <c r="F190" i="1"/>
  <c r="G190" i="1" s="1"/>
  <c r="F105" i="1"/>
  <c r="G105" i="1" s="1"/>
  <c r="F243" i="1"/>
  <c r="G243" i="1" s="1"/>
  <c r="F239" i="1"/>
  <c r="G239" i="1" s="1"/>
  <c r="F73" i="1"/>
  <c r="G73" i="1" s="1"/>
  <c r="F302" i="1"/>
  <c r="G302" i="1" s="1"/>
  <c r="F110" i="1"/>
  <c r="G110" i="1" s="1"/>
  <c r="F10" i="1"/>
  <c r="G10" i="1" s="1"/>
  <c r="F42" i="1"/>
  <c r="G42" i="1" s="1"/>
  <c r="F58" i="1"/>
  <c r="G58" i="1" s="1"/>
  <c r="F27" i="1"/>
  <c r="G27" i="1" s="1"/>
  <c r="F59" i="1"/>
  <c r="G59" i="1" s="1"/>
  <c r="F265" i="1"/>
  <c r="G265" i="1" s="1"/>
  <c r="F142" i="1"/>
  <c r="G142" i="1" s="1"/>
  <c r="F293" i="1"/>
  <c r="G293" i="1" s="1"/>
  <c r="F250" i="1"/>
  <c r="G250" i="1" s="1"/>
  <c r="F179" i="1"/>
  <c r="G179" i="1" s="1"/>
  <c r="F94" i="1"/>
  <c r="G94" i="1" s="1"/>
  <c r="F275" i="1"/>
  <c r="G275" i="1" s="1"/>
  <c r="F78" i="1"/>
  <c r="G78" i="1" s="1"/>
  <c r="F270" i="1"/>
  <c r="G270" i="1" s="1"/>
  <c r="F217" i="1"/>
  <c r="G217" i="1" s="1"/>
  <c r="F131" i="1"/>
  <c r="G131" i="1" s="1"/>
  <c r="F7" i="1"/>
  <c r="G7" i="1" s="1"/>
  <c r="F22" i="1"/>
  <c r="G22" i="1" s="1"/>
  <c r="F38" i="1"/>
  <c r="G38" i="1" s="1"/>
  <c r="F54" i="1"/>
  <c r="G54" i="1" s="1"/>
  <c r="F2" i="1"/>
  <c r="G2" i="1" s="1"/>
  <c r="F23" i="1"/>
  <c r="G23" i="1" s="1"/>
  <c r="F39" i="1"/>
  <c r="G39" i="1" s="1"/>
  <c r="F55" i="1"/>
  <c r="G55" i="1" s="1"/>
  <c r="F12" i="1"/>
  <c r="G12" i="1" s="1"/>
  <c r="F28" i="1"/>
  <c r="G28" i="1" s="1"/>
  <c r="F44" i="1"/>
  <c r="G44" i="1" s="1"/>
  <c r="F60" i="1"/>
  <c r="G60" i="1" s="1"/>
  <c r="F76" i="1"/>
  <c r="G76" i="1" s="1"/>
  <c r="F92" i="1"/>
  <c r="G92" i="1" s="1"/>
  <c r="F108" i="1"/>
  <c r="G108" i="1" s="1"/>
  <c r="F124" i="1"/>
  <c r="G124" i="1" s="1"/>
  <c r="F140" i="1"/>
  <c r="G140" i="1" s="1"/>
  <c r="F156" i="1"/>
  <c r="G156" i="1" s="1"/>
  <c r="F172" i="1"/>
  <c r="G172" i="1" s="1"/>
  <c r="F188" i="1"/>
  <c r="G188" i="1" s="1"/>
  <c r="F204" i="1"/>
  <c r="G204" i="1" s="1"/>
  <c r="F220" i="1"/>
  <c r="G220" i="1" s="1"/>
  <c r="F236" i="1"/>
  <c r="G236" i="1" s="1"/>
  <c r="F252" i="1"/>
  <c r="G252" i="1" s="1"/>
  <c r="F268" i="1"/>
  <c r="G268" i="1" s="1"/>
  <c r="F284" i="1"/>
  <c r="G284" i="1" s="1"/>
  <c r="F300" i="1"/>
  <c r="G300" i="1" s="1"/>
  <c r="F63" i="1"/>
  <c r="G63" i="1" s="1"/>
  <c r="F85" i="1"/>
  <c r="G85" i="1" s="1"/>
  <c r="F106" i="1"/>
  <c r="G106" i="1" s="1"/>
  <c r="F127" i="1"/>
  <c r="G127" i="1" s="1"/>
  <c r="F149" i="1"/>
  <c r="G149" i="1" s="1"/>
  <c r="F170" i="1"/>
  <c r="G170" i="1" s="1"/>
  <c r="F191" i="1"/>
  <c r="G191" i="1" s="1"/>
  <c r="F213" i="1"/>
  <c r="G213" i="1" s="1"/>
  <c r="F234" i="1"/>
  <c r="G234" i="1" s="1"/>
  <c r="F53" i="1"/>
  <c r="G53" i="1" s="1"/>
  <c r="F81" i="1"/>
  <c r="G81" i="1" s="1"/>
  <c r="F102" i="1"/>
  <c r="G102" i="1" s="1"/>
  <c r="F123" i="1"/>
  <c r="G123" i="1" s="1"/>
  <c r="F145" i="1"/>
  <c r="G145" i="1" s="1"/>
  <c r="F166" i="1"/>
  <c r="G166" i="1" s="1"/>
  <c r="F187" i="1"/>
  <c r="G187" i="1" s="1"/>
  <c r="F209" i="1"/>
  <c r="G209" i="1" s="1"/>
  <c r="F230" i="1"/>
  <c r="G230" i="1" s="1"/>
  <c r="F251" i="1"/>
  <c r="G251" i="1" s="1"/>
  <c r="F273" i="1"/>
  <c r="G273" i="1" s="1"/>
  <c r="F294" i="1"/>
  <c r="G294" i="1" s="1"/>
  <c r="F41" i="1"/>
  <c r="G41" i="1" s="1"/>
  <c r="F77" i="1"/>
  <c r="G77" i="1" s="1"/>
  <c r="F98" i="1"/>
  <c r="G98" i="1" s="1"/>
  <c r="F119" i="1"/>
  <c r="G119" i="1" s="1"/>
  <c r="F141" i="1"/>
  <c r="G141" i="1" s="1"/>
  <c r="F162" i="1"/>
  <c r="G162" i="1" s="1"/>
  <c r="F183" i="1"/>
  <c r="G183" i="1" s="1"/>
  <c r="F205" i="1"/>
  <c r="G205" i="1" s="1"/>
  <c r="F226" i="1"/>
  <c r="G226" i="1" s="1"/>
  <c r="F247" i="1"/>
  <c r="G247" i="1" s="1"/>
  <c r="F269" i="1"/>
  <c r="G269" i="1" s="1"/>
  <c r="F290" i="1"/>
  <c r="G290" i="1" s="1"/>
  <c r="F287" i="1"/>
  <c r="G287" i="1" s="1"/>
  <c r="F245" i="1"/>
  <c r="G245" i="1" s="1"/>
  <c r="F169" i="1"/>
  <c r="G169" i="1" s="1"/>
  <c r="F83" i="1"/>
  <c r="G83" i="1" s="1"/>
  <c r="F121" i="1"/>
  <c r="G121" i="1" s="1"/>
  <c r="F282" i="1"/>
  <c r="G282" i="1" s="1"/>
  <c r="F158" i="1"/>
  <c r="G158" i="1" s="1"/>
  <c r="F254" i="1"/>
  <c r="G254" i="1" s="1"/>
  <c r="F259" i="1"/>
  <c r="G259" i="1" s="1"/>
  <c r="F195" i="1"/>
  <c r="G195" i="1" s="1"/>
  <c r="F26" i="1"/>
  <c r="G26" i="1" s="1"/>
  <c r="F11" i="1"/>
  <c r="G11" i="1" s="1"/>
  <c r="F43" i="1"/>
  <c r="G43" i="1" s="1"/>
  <c r="S4" i="1"/>
  <c r="O5" i="1" s="1"/>
  <c r="P4" i="1"/>
  <c r="AZ2" i="1" l="1"/>
  <c r="BA2" i="1" s="1"/>
  <c r="AN3" i="1"/>
  <c r="AO3" i="1"/>
  <c r="AI3" i="1"/>
  <c r="Y3" i="1"/>
  <c r="X3" i="1"/>
  <c r="S5" i="1"/>
  <c r="O6" i="1" s="1"/>
  <c r="P5" i="1"/>
  <c r="BB2" i="1" l="1"/>
  <c r="AU3" i="1" s="1"/>
  <c r="AV3" i="1" s="1"/>
  <c r="AQ3" i="1"/>
  <c r="AP3" i="1"/>
  <c r="Z3" i="1"/>
  <c r="AA3" i="1" s="1"/>
  <c r="AJ3" i="1"/>
  <c r="AK3" i="1"/>
  <c r="AD4" i="1" s="1"/>
  <c r="S6" i="1"/>
  <c r="O7" i="1" s="1"/>
  <c r="P6" i="1"/>
  <c r="BC3" i="1" l="1"/>
  <c r="AM4" i="1" s="1"/>
  <c r="AO4" i="1" s="1"/>
  <c r="AR3" i="1"/>
  <c r="AS3" i="1" s="1"/>
  <c r="AW3" i="1"/>
  <c r="AE4" i="1"/>
  <c r="AF4" i="1"/>
  <c r="AB3" i="1"/>
  <c r="U4" i="1" s="1"/>
  <c r="W4" i="1" s="1"/>
  <c r="S7" i="1"/>
  <c r="O8" i="1" s="1"/>
  <c r="P7" i="1"/>
  <c r="AQ4" i="1" l="1"/>
  <c r="AP4" i="1"/>
  <c r="AN4" i="1"/>
  <c r="AY3" i="1"/>
  <c r="AX3" i="1"/>
  <c r="AH4" i="1"/>
  <c r="AG4" i="1"/>
  <c r="V4" i="1"/>
  <c r="Y4" i="1"/>
  <c r="X4" i="1"/>
  <c r="S8" i="1"/>
  <c r="O9" i="1" s="1"/>
  <c r="P8" i="1"/>
  <c r="AZ3" i="1" l="1"/>
  <c r="AR4" i="1"/>
  <c r="AI4" i="1"/>
  <c r="AK4" i="1" s="1"/>
  <c r="AD5" i="1" s="1"/>
  <c r="Z4" i="1"/>
  <c r="AA4" i="1" s="1"/>
  <c r="S9" i="1"/>
  <c r="O10" i="1" s="1"/>
  <c r="P9" i="1"/>
  <c r="BA3" i="1" l="1"/>
  <c r="BB3" i="1"/>
  <c r="AU4" i="1" s="1"/>
  <c r="BC4" i="1" s="1"/>
  <c r="AM5" i="1" s="1"/>
  <c r="AO5" i="1" s="1"/>
  <c r="AS4" i="1"/>
  <c r="AJ4" i="1"/>
  <c r="AE5" i="1"/>
  <c r="AF5" i="1"/>
  <c r="AB4" i="1"/>
  <c r="U5" i="1" s="1"/>
  <c r="V5" i="1" s="1"/>
  <c r="S10" i="1"/>
  <c r="O11" i="1" s="1"/>
  <c r="P10" i="1"/>
  <c r="AP5" i="1" l="1"/>
  <c r="AQ5" i="1"/>
  <c r="AW4" i="1"/>
  <c r="AV4" i="1"/>
  <c r="AN5" i="1"/>
  <c r="AH5" i="1"/>
  <c r="AG5" i="1"/>
  <c r="W5" i="1"/>
  <c r="S11" i="1"/>
  <c r="O12" i="1" s="1"/>
  <c r="P11" i="1"/>
  <c r="AR5" i="1" l="1"/>
  <c r="AX4" i="1"/>
  <c r="AY4" i="1"/>
  <c r="AI5" i="1"/>
  <c r="AK5" i="1" s="1"/>
  <c r="AD6" i="1" s="1"/>
  <c r="X5" i="1"/>
  <c r="Y5" i="1"/>
  <c r="S12" i="1"/>
  <c r="O13" i="1" s="1"/>
  <c r="P12" i="1"/>
  <c r="AZ4" i="1" l="1"/>
  <c r="BA4" i="1" s="1"/>
  <c r="AJ5" i="1"/>
  <c r="Z5" i="1"/>
  <c r="AA5" i="1" s="1"/>
  <c r="AF6" i="1"/>
  <c r="AE6" i="1"/>
  <c r="S13" i="1"/>
  <c r="O14" i="1" s="1"/>
  <c r="P13" i="1"/>
  <c r="BB4" i="1" l="1"/>
  <c r="AU5" i="1" s="1"/>
  <c r="AS5" i="1"/>
  <c r="AH6" i="1"/>
  <c r="AG6" i="1"/>
  <c r="AB5" i="1"/>
  <c r="U6" i="1" s="1"/>
  <c r="V6" i="1" s="1"/>
  <c r="S14" i="1"/>
  <c r="O15" i="1" s="1"/>
  <c r="P14" i="1"/>
  <c r="AW5" i="1" l="1"/>
  <c r="BC5" i="1"/>
  <c r="AM6" i="1" s="1"/>
  <c r="AO6" i="1" s="1"/>
  <c r="AV5" i="1"/>
  <c r="AI6" i="1"/>
  <c r="AJ6" i="1" s="1"/>
  <c r="W6" i="1"/>
  <c r="S15" i="1"/>
  <c r="O16" i="1" s="1"/>
  <c r="P15" i="1"/>
  <c r="AY5" i="1" l="1"/>
  <c r="AX5" i="1"/>
  <c r="AP6" i="1"/>
  <c r="AN6" i="1"/>
  <c r="AQ6" i="1"/>
  <c r="AK6" i="1"/>
  <c r="AD7" i="1" s="1"/>
  <c r="AE7" i="1" s="1"/>
  <c r="X6" i="1"/>
  <c r="Y6" i="1"/>
  <c r="P16" i="1"/>
  <c r="S16" i="1"/>
  <c r="O17" i="1" s="1"/>
  <c r="AZ5" i="1" l="1"/>
  <c r="BA5" i="1" s="1"/>
  <c r="AR6" i="1"/>
  <c r="Z6" i="1"/>
  <c r="AB6" i="1" s="1"/>
  <c r="U7" i="1" s="1"/>
  <c r="V7" i="1" s="1"/>
  <c r="AF7" i="1"/>
  <c r="AH7" i="1" s="1"/>
  <c r="P17" i="1"/>
  <c r="S17" i="1"/>
  <c r="O18" i="1" s="1"/>
  <c r="BB5" i="1" l="1"/>
  <c r="AU6" i="1" s="1"/>
  <c r="AV6" i="1" s="1"/>
  <c r="AA6" i="1"/>
  <c r="AW6" i="1"/>
  <c r="AG7" i="1"/>
  <c r="AI7" i="1" s="1"/>
  <c r="AJ7" i="1" s="1"/>
  <c r="AS6" i="1"/>
  <c r="W7" i="1"/>
  <c r="P18" i="1"/>
  <c r="S18" i="1"/>
  <c r="O19" i="1" s="1"/>
  <c r="BC6" i="1" l="1"/>
  <c r="AM7" i="1" s="1"/>
  <c r="AO7" i="1" s="1"/>
  <c r="AY6" i="1"/>
  <c r="AX6" i="1"/>
  <c r="AZ6" i="1" s="1"/>
  <c r="AP7" i="1"/>
  <c r="AQ7" i="1"/>
  <c r="AK7" i="1"/>
  <c r="AD8" i="1" s="1"/>
  <c r="AE8" i="1" s="1"/>
  <c r="Y7" i="1"/>
  <c r="X7" i="1"/>
  <c r="P19" i="1"/>
  <c r="S19" i="1"/>
  <c r="O20" i="1" s="1"/>
  <c r="AN7" i="1" l="1"/>
  <c r="BB6" i="1"/>
  <c r="AU7" i="1" s="1"/>
  <c r="AR7" i="1"/>
  <c r="Z7" i="1"/>
  <c r="AB7" i="1" s="1"/>
  <c r="U8" i="1" s="1"/>
  <c r="V8" i="1" s="1"/>
  <c r="AF8" i="1"/>
  <c r="AH8" i="1" s="1"/>
  <c r="P20" i="1"/>
  <c r="S20" i="1"/>
  <c r="O21" i="1" s="1"/>
  <c r="AG8" i="1" l="1"/>
  <c r="BC7" i="1"/>
  <c r="AV7" i="1"/>
  <c r="BA6" i="1"/>
  <c r="AI8" i="1"/>
  <c r="AW7" i="1"/>
  <c r="AA7" i="1"/>
  <c r="W8" i="1"/>
  <c r="P21" i="1"/>
  <c r="S21" i="1"/>
  <c r="O22" i="1" s="1"/>
  <c r="AY7" i="1" l="1"/>
  <c r="AX7" i="1"/>
  <c r="AS7" i="1"/>
  <c r="AM8" i="1"/>
  <c r="AO8" i="1" s="1"/>
  <c r="AJ8" i="1"/>
  <c r="AK8" i="1"/>
  <c r="AD9" i="1" s="1"/>
  <c r="Y8" i="1"/>
  <c r="X8" i="1"/>
  <c r="P22" i="1"/>
  <c r="S22" i="1"/>
  <c r="O23" i="1" s="1"/>
  <c r="AZ7" i="1" l="1"/>
  <c r="BA7" i="1" s="1"/>
  <c r="Z8" i="1"/>
  <c r="AP8" i="1"/>
  <c r="AQ8" i="1"/>
  <c r="AN8" i="1"/>
  <c r="AF9" i="1"/>
  <c r="AE9" i="1"/>
  <c r="P23" i="1"/>
  <c r="S23" i="1"/>
  <c r="O24" i="1" s="1"/>
  <c r="AR8" i="1" l="1"/>
  <c r="BB7" i="1"/>
  <c r="AU8" i="1" s="1"/>
  <c r="AH9" i="1"/>
  <c r="AG9" i="1"/>
  <c r="AA8" i="1"/>
  <c r="AB8" i="1"/>
  <c r="U9" i="1" s="1"/>
  <c r="P24" i="1"/>
  <c r="S24" i="1"/>
  <c r="O25" i="1" s="1"/>
  <c r="AV8" i="1" l="1"/>
  <c r="BC8" i="1"/>
  <c r="AW8" i="1"/>
  <c r="AI9" i="1"/>
  <c r="V9" i="1"/>
  <c r="W9" i="1"/>
  <c r="P25" i="1"/>
  <c r="S25" i="1"/>
  <c r="O26" i="1" s="1"/>
  <c r="AY8" i="1" l="1"/>
  <c r="AX8" i="1"/>
  <c r="AS8" i="1"/>
  <c r="AM9" i="1"/>
  <c r="AO9" i="1" s="1"/>
  <c r="AJ9" i="1"/>
  <c r="AK9" i="1"/>
  <c r="AD10" i="1" s="1"/>
  <c r="X9" i="1"/>
  <c r="Y9" i="1"/>
  <c r="P26" i="1"/>
  <c r="S26" i="1"/>
  <c r="O27" i="1" s="1"/>
  <c r="AZ8" i="1" l="1"/>
  <c r="BA8" i="1" s="1"/>
  <c r="AP9" i="1"/>
  <c r="AQ9" i="1"/>
  <c r="AN9" i="1"/>
  <c r="Z9" i="1"/>
  <c r="AA9" i="1" s="1"/>
  <c r="AF10" i="1"/>
  <c r="AE10" i="1"/>
  <c r="P27" i="1"/>
  <c r="S27" i="1"/>
  <c r="O28" i="1" s="1"/>
  <c r="AR9" i="1" l="1"/>
  <c r="BB8" i="1"/>
  <c r="AU9" i="1" s="1"/>
  <c r="AH10" i="1"/>
  <c r="AG10" i="1"/>
  <c r="AB9" i="1"/>
  <c r="U10" i="1" s="1"/>
  <c r="V10" i="1" s="1"/>
  <c r="P28" i="1"/>
  <c r="S28" i="1"/>
  <c r="O29" i="1" s="1"/>
  <c r="AV9" i="1" l="1"/>
  <c r="BC9" i="1"/>
  <c r="AW9" i="1"/>
  <c r="AI10" i="1"/>
  <c r="W10" i="1"/>
  <c r="P29" i="1"/>
  <c r="S29" i="1"/>
  <c r="O30" i="1" s="1"/>
  <c r="AX9" i="1" l="1"/>
  <c r="AY9" i="1"/>
  <c r="AS9" i="1"/>
  <c r="AM10" i="1"/>
  <c r="AO10" i="1" s="1"/>
  <c r="AJ10" i="1"/>
  <c r="AK10" i="1"/>
  <c r="AD11" i="1" s="1"/>
  <c r="Y10" i="1"/>
  <c r="X10" i="1"/>
  <c r="P30" i="1"/>
  <c r="S30" i="1"/>
  <c r="O31" i="1" s="1"/>
  <c r="AZ9" i="1" l="1"/>
  <c r="BA9" i="1" s="1"/>
  <c r="Z10" i="1"/>
  <c r="AA10" i="1" s="1"/>
  <c r="AP10" i="1"/>
  <c r="AQ10" i="1"/>
  <c r="AN10" i="1"/>
  <c r="AE11" i="1"/>
  <c r="AF11" i="1"/>
  <c r="P31" i="1"/>
  <c r="S31" i="1"/>
  <c r="O32" i="1" s="1"/>
  <c r="AR10" i="1" l="1"/>
  <c r="BB9" i="1"/>
  <c r="AU10" i="1" s="1"/>
  <c r="AH11" i="1"/>
  <c r="AG11" i="1"/>
  <c r="AB10" i="1"/>
  <c r="U11" i="1" s="1"/>
  <c r="V11" i="1" s="1"/>
  <c r="P32" i="1"/>
  <c r="S32" i="1"/>
  <c r="O33" i="1" s="1"/>
  <c r="AV10" i="1" l="1"/>
  <c r="BC10" i="1"/>
  <c r="AW10" i="1"/>
  <c r="AI11" i="1"/>
  <c r="W11" i="1"/>
  <c r="P33" i="1"/>
  <c r="S33" i="1"/>
  <c r="O34" i="1" s="1"/>
  <c r="AY10" i="1" l="1"/>
  <c r="AX10" i="1"/>
  <c r="AS10" i="1"/>
  <c r="AM11" i="1"/>
  <c r="AO11" i="1" s="1"/>
  <c r="X11" i="1"/>
  <c r="AJ11" i="1"/>
  <c r="AK11" i="1"/>
  <c r="AD12" i="1" s="1"/>
  <c r="Y11" i="1"/>
  <c r="P34" i="1"/>
  <c r="S34" i="1"/>
  <c r="O35" i="1" s="1"/>
  <c r="AZ10" i="1" l="1"/>
  <c r="BA10" i="1" s="1"/>
  <c r="AP11" i="1"/>
  <c r="AQ11" i="1"/>
  <c r="Z11" i="1"/>
  <c r="AA11" i="1" s="1"/>
  <c r="AN11" i="1"/>
  <c r="AE12" i="1"/>
  <c r="AF12" i="1"/>
  <c r="P35" i="1"/>
  <c r="S35" i="1"/>
  <c r="O36" i="1" s="1"/>
  <c r="AR11" i="1" l="1"/>
  <c r="AB11" i="1"/>
  <c r="U12" i="1" s="1"/>
  <c r="V12" i="1" s="1"/>
  <c r="BB10" i="1"/>
  <c r="AU11" i="1" s="1"/>
  <c r="AH12" i="1"/>
  <c r="AG12" i="1"/>
  <c r="P36" i="1"/>
  <c r="S36" i="1"/>
  <c r="O37" i="1" s="1"/>
  <c r="W12" i="1" l="1"/>
  <c r="Y12" i="1" s="1"/>
  <c r="AV11" i="1"/>
  <c r="BC11" i="1"/>
  <c r="AW11" i="1"/>
  <c r="AI12" i="1"/>
  <c r="P37" i="1"/>
  <c r="S37" i="1"/>
  <c r="O38" i="1" s="1"/>
  <c r="X12" i="1" l="1"/>
  <c r="Z12" i="1" s="1"/>
  <c r="AA12" i="1" s="1"/>
  <c r="AY11" i="1"/>
  <c r="AX11" i="1"/>
  <c r="AS11" i="1"/>
  <c r="AM12" i="1"/>
  <c r="AO12" i="1" s="1"/>
  <c r="AJ12" i="1"/>
  <c r="AK12" i="1"/>
  <c r="AD13" i="1" s="1"/>
  <c r="P38" i="1"/>
  <c r="S38" i="1"/>
  <c r="O39" i="1" s="1"/>
  <c r="AZ11" i="1" l="1"/>
  <c r="BA11" i="1" s="1"/>
  <c r="AB12" i="1"/>
  <c r="U13" i="1" s="1"/>
  <c r="V13" i="1" s="1"/>
  <c r="AP12" i="1"/>
  <c r="AQ12" i="1"/>
  <c r="AN12" i="1"/>
  <c r="AE13" i="1"/>
  <c r="AF13" i="1"/>
  <c r="P39" i="1"/>
  <c r="S39" i="1"/>
  <c r="O40" i="1" s="1"/>
  <c r="AR12" i="1" l="1"/>
  <c r="W13" i="1"/>
  <c r="X13" i="1" s="1"/>
  <c r="BB11" i="1"/>
  <c r="AU12" i="1" s="1"/>
  <c r="AH13" i="1"/>
  <c r="AG13" i="1"/>
  <c r="P40" i="1"/>
  <c r="S40" i="1"/>
  <c r="O41" i="1" s="1"/>
  <c r="Y13" i="1" l="1"/>
  <c r="Z13" i="1" s="1"/>
  <c r="AA13" i="1" s="1"/>
  <c r="AV12" i="1"/>
  <c r="BC12" i="1"/>
  <c r="AW12" i="1"/>
  <c r="AI13" i="1"/>
  <c r="P41" i="1"/>
  <c r="S41" i="1"/>
  <c r="O42" i="1" s="1"/>
  <c r="AY12" i="1" l="1"/>
  <c r="AX12" i="1"/>
  <c r="AB13" i="1"/>
  <c r="U14" i="1" s="1"/>
  <c r="V14" i="1" s="1"/>
  <c r="AS12" i="1"/>
  <c r="AM13" i="1"/>
  <c r="AO13" i="1" s="1"/>
  <c r="AJ13" i="1"/>
  <c r="AK13" i="1"/>
  <c r="AD14" i="1" s="1"/>
  <c r="P42" i="1"/>
  <c r="S42" i="1"/>
  <c r="O43" i="1" s="1"/>
  <c r="AZ12" i="1" l="1"/>
  <c r="W14" i="1"/>
  <c r="Y14" i="1" s="1"/>
  <c r="AP13" i="1"/>
  <c r="AQ13" i="1"/>
  <c r="AN13" i="1"/>
  <c r="AE14" i="1"/>
  <c r="AF14" i="1"/>
  <c r="P43" i="1"/>
  <c r="S43" i="1"/>
  <c r="O44" i="1" s="1"/>
  <c r="AR13" i="1" l="1"/>
  <c r="X14" i="1"/>
  <c r="Z14" i="1" s="1"/>
  <c r="AA14" i="1" s="1"/>
  <c r="BA12" i="1"/>
  <c r="BB12" i="1"/>
  <c r="AU13" i="1" s="1"/>
  <c r="BC13" i="1" s="1"/>
  <c r="AH14" i="1"/>
  <c r="AG14" i="1"/>
  <c r="P44" i="1"/>
  <c r="S44" i="1"/>
  <c r="O45" i="1" s="1"/>
  <c r="AV13" i="1" l="1"/>
  <c r="AW13" i="1"/>
  <c r="AI14" i="1"/>
  <c r="AB14" i="1"/>
  <c r="U15" i="1" s="1"/>
  <c r="V15" i="1" s="1"/>
  <c r="P45" i="1"/>
  <c r="S45" i="1"/>
  <c r="O46" i="1" s="1"/>
  <c r="AY13" i="1" l="1"/>
  <c r="AX13" i="1"/>
  <c r="AS13" i="1"/>
  <c r="AM14" i="1"/>
  <c r="AO14" i="1" s="1"/>
  <c r="AJ14" i="1"/>
  <c r="AK14" i="1"/>
  <c r="AD15" i="1" s="1"/>
  <c r="W15" i="1"/>
  <c r="P46" i="1"/>
  <c r="S46" i="1"/>
  <c r="O47" i="1" s="1"/>
  <c r="AZ13" i="1" l="1"/>
  <c r="AP14" i="1"/>
  <c r="AQ14" i="1"/>
  <c r="AN14" i="1"/>
  <c r="AF15" i="1"/>
  <c r="AE15" i="1"/>
  <c r="Y15" i="1"/>
  <c r="X15" i="1"/>
  <c r="P47" i="1"/>
  <c r="S47" i="1"/>
  <c r="O48" i="1" s="1"/>
  <c r="AR14" i="1" l="1"/>
  <c r="BA13" i="1"/>
  <c r="BB13" i="1"/>
  <c r="AU14" i="1" s="1"/>
  <c r="BC14" i="1" s="1"/>
  <c r="Z15" i="1"/>
  <c r="AA15" i="1" s="1"/>
  <c r="AH15" i="1"/>
  <c r="AG15" i="1"/>
  <c r="P48" i="1"/>
  <c r="S48" i="1"/>
  <c r="O49" i="1" s="1"/>
  <c r="AV14" i="1" l="1"/>
  <c r="AW14" i="1"/>
  <c r="AI15" i="1"/>
  <c r="AB15" i="1"/>
  <c r="U16" i="1" s="1"/>
  <c r="V16" i="1" s="1"/>
  <c r="P49" i="1"/>
  <c r="S49" i="1"/>
  <c r="O50" i="1" s="1"/>
  <c r="AY14" i="1" l="1"/>
  <c r="AX14" i="1"/>
  <c r="AS14" i="1"/>
  <c r="AM15" i="1"/>
  <c r="AO15" i="1" s="1"/>
  <c r="AJ15" i="1"/>
  <c r="AK15" i="1"/>
  <c r="AD16" i="1" s="1"/>
  <c r="W16" i="1"/>
  <c r="P50" i="1"/>
  <c r="S50" i="1"/>
  <c r="O51" i="1" s="1"/>
  <c r="AZ14" i="1" l="1"/>
  <c r="AP15" i="1"/>
  <c r="AQ15" i="1"/>
  <c r="AN15" i="1"/>
  <c r="Y16" i="1"/>
  <c r="AE16" i="1"/>
  <c r="AF16" i="1"/>
  <c r="X16" i="1"/>
  <c r="P51" i="1"/>
  <c r="S51" i="1"/>
  <c r="O52" i="1" s="1"/>
  <c r="AR15" i="1" l="1"/>
  <c r="BA14" i="1"/>
  <c r="BB14" i="1"/>
  <c r="AU15" i="1" s="1"/>
  <c r="BC15" i="1" s="1"/>
  <c r="Z16" i="1"/>
  <c r="AB16" i="1" s="1"/>
  <c r="U17" i="1" s="1"/>
  <c r="V17" i="1" s="1"/>
  <c r="AH16" i="1"/>
  <c r="AG16" i="1"/>
  <c r="P52" i="1"/>
  <c r="S52" i="1"/>
  <c r="O53" i="1" s="1"/>
  <c r="AA16" i="1" l="1"/>
  <c r="AV15" i="1"/>
  <c r="AI16" i="1"/>
  <c r="AW15" i="1"/>
  <c r="W17" i="1"/>
  <c r="P53" i="1"/>
  <c r="S53" i="1"/>
  <c r="O54" i="1" s="1"/>
  <c r="AY15" i="1" l="1"/>
  <c r="AX15" i="1"/>
  <c r="AS15" i="1"/>
  <c r="AM16" i="1"/>
  <c r="AO16" i="1" s="1"/>
  <c r="X17" i="1"/>
  <c r="AJ16" i="1"/>
  <c r="AK16" i="1"/>
  <c r="AD17" i="1" s="1"/>
  <c r="Y17" i="1"/>
  <c r="P54" i="1"/>
  <c r="S54" i="1"/>
  <c r="O55" i="1" s="1"/>
  <c r="AZ15" i="1" l="1"/>
  <c r="AP16" i="1"/>
  <c r="AQ16" i="1"/>
  <c r="AN16" i="1"/>
  <c r="Z17" i="1"/>
  <c r="AA17" i="1" s="1"/>
  <c r="AE17" i="1"/>
  <c r="AF17" i="1"/>
  <c r="P55" i="1"/>
  <c r="S55" i="1"/>
  <c r="O56" i="1" s="1"/>
  <c r="AR16" i="1" l="1"/>
  <c r="BA15" i="1"/>
  <c r="BB15" i="1"/>
  <c r="AU16" i="1" s="1"/>
  <c r="BC16" i="1" s="1"/>
  <c r="AB17" i="1"/>
  <c r="U18" i="1" s="1"/>
  <c r="V18" i="1" s="1"/>
  <c r="AH17" i="1"/>
  <c r="AG17" i="1"/>
  <c r="P56" i="1"/>
  <c r="S56" i="1"/>
  <c r="O57" i="1" s="1"/>
  <c r="AV16" i="1" l="1"/>
  <c r="W18" i="1"/>
  <c r="Y18" i="1" s="1"/>
  <c r="AW16" i="1"/>
  <c r="AI17" i="1"/>
  <c r="P57" i="1"/>
  <c r="S57" i="1"/>
  <c r="O58" i="1" s="1"/>
  <c r="AY16" i="1" l="1"/>
  <c r="AX16" i="1"/>
  <c r="X18" i="1"/>
  <c r="Z18" i="1" s="1"/>
  <c r="AA18" i="1" s="1"/>
  <c r="AS16" i="1"/>
  <c r="AM17" i="1"/>
  <c r="AO17" i="1" s="1"/>
  <c r="AJ17" i="1"/>
  <c r="AK17" i="1"/>
  <c r="AD18" i="1" s="1"/>
  <c r="P58" i="1"/>
  <c r="S58" i="1"/>
  <c r="O59" i="1" s="1"/>
  <c r="AZ16" i="1" l="1"/>
  <c r="AP17" i="1"/>
  <c r="AQ17" i="1"/>
  <c r="AN17" i="1"/>
  <c r="AF18" i="1"/>
  <c r="AE18" i="1"/>
  <c r="AB18" i="1"/>
  <c r="U19" i="1" s="1"/>
  <c r="V19" i="1" s="1"/>
  <c r="P59" i="1"/>
  <c r="S59" i="1"/>
  <c r="O60" i="1" s="1"/>
  <c r="AR17" i="1" l="1"/>
  <c r="BA16" i="1"/>
  <c r="BB16" i="1"/>
  <c r="AU17" i="1" s="1"/>
  <c r="BC17" i="1" s="1"/>
  <c r="AH18" i="1"/>
  <c r="AG18" i="1"/>
  <c r="W19" i="1"/>
  <c r="P60" i="1"/>
  <c r="S60" i="1"/>
  <c r="O61" i="1" s="1"/>
  <c r="AV17" i="1" l="1"/>
  <c r="AI18" i="1"/>
  <c r="AW17" i="1"/>
  <c r="Y19" i="1"/>
  <c r="X19" i="1"/>
  <c r="P61" i="1"/>
  <c r="S61" i="1"/>
  <c r="O62" i="1" s="1"/>
  <c r="AY17" i="1" l="1"/>
  <c r="AX17" i="1"/>
  <c r="AS17" i="1"/>
  <c r="AM18" i="1"/>
  <c r="AO18" i="1" s="1"/>
  <c r="Z19" i="1"/>
  <c r="AA19" i="1" s="1"/>
  <c r="AJ18" i="1"/>
  <c r="AK18" i="1"/>
  <c r="AD19" i="1" s="1"/>
  <c r="P62" i="1"/>
  <c r="S62" i="1"/>
  <c r="O63" i="1" s="1"/>
  <c r="AZ17" i="1" l="1"/>
  <c r="AP18" i="1"/>
  <c r="AQ18" i="1"/>
  <c r="AN18" i="1"/>
  <c r="AE19" i="1"/>
  <c r="AF19" i="1"/>
  <c r="AB19" i="1"/>
  <c r="U20" i="1" s="1"/>
  <c r="V20" i="1" s="1"/>
  <c r="P63" i="1"/>
  <c r="S63" i="1"/>
  <c r="O64" i="1" s="1"/>
  <c r="AR18" i="1" l="1"/>
  <c r="BA17" i="1"/>
  <c r="BB17" i="1"/>
  <c r="AU18" i="1" s="1"/>
  <c r="BC18" i="1" s="1"/>
  <c r="AH19" i="1"/>
  <c r="AG19" i="1"/>
  <c r="W20" i="1"/>
  <c r="P64" i="1"/>
  <c r="S64" i="1"/>
  <c r="O65" i="1" s="1"/>
  <c r="AV18" i="1" l="1"/>
  <c r="AI19" i="1"/>
  <c r="AW18" i="1"/>
  <c r="Y20" i="1"/>
  <c r="X20" i="1"/>
  <c r="P65" i="1"/>
  <c r="S65" i="1"/>
  <c r="O66" i="1" s="1"/>
  <c r="AY18" i="1" l="1"/>
  <c r="AX18" i="1"/>
  <c r="AS18" i="1"/>
  <c r="AM19" i="1"/>
  <c r="AO19" i="1" s="1"/>
  <c r="Z20" i="1"/>
  <c r="AB20" i="1" s="1"/>
  <c r="U21" i="1" s="1"/>
  <c r="V21" i="1" s="1"/>
  <c r="AJ19" i="1"/>
  <c r="AK19" i="1"/>
  <c r="AD20" i="1" s="1"/>
  <c r="P66" i="1"/>
  <c r="S66" i="1"/>
  <c r="O67" i="1" s="1"/>
  <c r="AZ18" i="1" l="1"/>
  <c r="AP19" i="1"/>
  <c r="AQ19" i="1"/>
  <c r="AN19" i="1"/>
  <c r="AE20" i="1"/>
  <c r="AF20" i="1"/>
  <c r="AA20" i="1"/>
  <c r="W21" i="1"/>
  <c r="P67" i="1"/>
  <c r="S67" i="1"/>
  <c r="O68" i="1" s="1"/>
  <c r="AR19" i="1" l="1"/>
  <c r="BA18" i="1"/>
  <c r="BB18" i="1"/>
  <c r="AU19" i="1" s="1"/>
  <c r="BC19" i="1" s="1"/>
  <c r="AH20" i="1"/>
  <c r="AG20" i="1"/>
  <c r="Y21" i="1"/>
  <c r="X21" i="1"/>
  <c r="P68" i="1"/>
  <c r="S68" i="1"/>
  <c r="O69" i="1" s="1"/>
  <c r="AV19" i="1" l="1"/>
  <c r="AI20" i="1"/>
  <c r="AJ20" i="1" s="1"/>
  <c r="AW19" i="1"/>
  <c r="Z21" i="1"/>
  <c r="AA21" i="1" s="1"/>
  <c r="P69" i="1"/>
  <c r="S69" i="1"/>
  <c r="O70" i="1" s="1"/>
  <c r="AK20" i="1" l="1"/>
  <c r="AD21" i="1" s="1"/>
  <c r="AY19" i="1"/>
  <c r="AX19" i="1"/>
  <c r="AZ19" i="1" s="1"/>
  <c r="AS19" i="1"/>
  <c r="AM20" i="1"/>
  <c r="AO20" i="1" s="1"/>
  <c r="AE21" i="1"/>
  <c r="AF21" i="1"/>
  <c r="AB21" i="1"/>
  <c r="U22" i="1" s="1"/>
  <c r="V22" i="1" s="1"/>
  <c r="P70" i="1"/>
  <c r="S70" i="1"/>
  <c r="O71" i="1" s="1"/>
  <c r="AP20" i="1" l="1"/>
  <c r="AQ20" i="1"/>
  <c r="AN20" i="1"/>
  <c r="AH21" i="1"/>
  <c r="AG21" i="1"/>
  <c r="W22" i="1"/>
  <c r="P71" i="1"/>
  <c r="S71" i="1"/>
  <c r="O72" i="1" s="1"/>
  <c r="AR20" i="1" l="1"/>
  <c r="BA19" i="1"/>
  <c r="BB19" i="1"/>
  <c r="AU20" i="1" s="1"/>
  <c r="BC20" i="1" s="1"/>
  <c r="AI21" i="1"/>
  <c r="Y22" i="1"/>
  <c r="X22" i="1"/>
  <c r="P72" i="1"/>
  <c r="S72" i="1"/>
  <c r="O73" i="1" s="1"/>
  <c r="AV20" i="1" l="1"/>
  <c r="AW20" i="1"/>
  <c r="Z22" i="1"/>
  <c r="AA22" i="1" s="1"/>
  <c r="AJ21" i="1"/>
  <c r="AK21" i="1"/>
  <c r="AD22" i="1" s="1"/>
  <c r="P73" i="1"/>
  <c r="S73" i="1"/>
  <c r="O74" i="1" s="1"/>
  <c r="AY20" i="1" l="1"/>
  <c r="AX20" i="1"/>
  <c r="AS20" i="1"/>
  <c r="AM21" i="1"/>
  <c r="AO21" i="1" s="1"/>
  <c r="AB22" i="1"/>
  <c r="U23" i="1" s="1"/>
  <c r="V23" i="1" s="1"/>
  <c r="AE22" i="1"/>
  <c r="AF22" i="1"/>
  <c r="P74" i="1"/>
  <c r="S74" i="1"/>
  <c r="O75" i="1" s="1"/>
  <c r="AZ20" i="1" l="1"/>
  <c r="AP21" i="1"/>
  <c r="AQ21" i="1"/>
  <c r="W23" i="1"/>
  <c r="X23" i="1" s="1"/>
  <c r="AN21" i="1"/>
  <c r="AH22" i="1"/>
  <c r="AG22" i="1"/>
  <c r="P75" i="1"/>
  <c r="S75" i="1"/>
  <c r="O76" i="1" s="1"/>
  <c r="AR21" i="1" l="1"/>
  <c r="BA20" i="1"/>
  <c r="BB20" i="1"/>
  <c r="AU21" i="1" s="1"/>
  <c r="BC21" i="1" s="1"/>
  <c r="Y23" i="1"/>
  <c r="Z23" i="1" s="1"/>
  <c r="AB23" i="1" s="1"/>
  <c r="U24" i="1" s="1"/>
  <c r="V24" i="1" s="1"/>
  <c r="AI22" i="1"/>
  <c r="P76" i="1"/>
  <c r="S76" i="1"/>
  <c r="O77" i="1" s="1"/>
  <c r="AV21" i="1" l="1"/>
  <c r="AA23" i="1"/>
  <c r="AW21" i="1"/>
  <c r="AJ22" i="1"/>
  <c r="AK22" i="1"/>
  <c r="AD23" i="1" s="1"/>
  <c r="W24" i="1"/>
  <c r="P77" i="1"/>
  <c r="S77" i="1"/>
  <c r="O78" i="1" s="1"/>
  <c r="AY21" i="1" l="1"/>
  <c r="AX21" i="1"/>
  <c r="AS21" i="1"/>
  <c r="AM22" i="1"/>
  <c r="AO22" i="1" s="1"/>
  <c r="Y24" i="1"/>
  <c r="AF23" i="1"/>
  <c r="AE23" i="1"/>
  <c r="X24" i="1"/>
  <c r="P78" i="1"/>
  <c r="S78" i="1"/>
  <c r="O79" i="1" s="1"/>
  <c r="AZ21" i="1" l="1"/>
  <c r="AP22" i="1"/>
  <c r="AQ22" i="1"/>
  <c r="Z24" i="1"/>
  <c r="AB24" i="1" s="1"/>
  <c r="U25" i="1" s="1"/>
  <c r="V25" i="1" s="1"/>
  <c r="AN22" i="1"/>
  <c r="AH23" i="1"/>
  <c r="AG23" i="1"/>
  <c r="P79" i="1"/>
  <c r="S79" i="1"/>
  <c r="O80" i="1" s="1"/>
  <c r="AR22" i="1" l="1"/>
  <c r="BA21" i="1"/>
  <c r="BB21" i="1"/>
  <c r="AU22" i="1" s="1"/>
  <c r="BC22" i="1" s="1"/>
  <c r="AA24" i="1"/>
  <c r="AI23" i="1"/>
  <c r="W25" i="1"/>
  <c r="P80" i="1"/>
  <c r="S80" i="1"/>
  <c r="O81" i="1" s="1"/>
  <c r="AV22" i="1" l="1"/>
  <c r="AW22" i="1"/>
  <c r="AJ23" i="1"/>
  <c r="AK23" i="1"/>
  <c r="AD24" i="1" s="1"/>
  <c r="Y25" i="1"/>
  <c r="X25" i="1"/>
  <c r="P81" i="1"/>
  <c r="S81" i="1"/>
  <c r="O82" i="1" s="1"/>
  <c r="AY22" i="1" l="1"/>
  <c r="AX22" i="1"/>
  <c r="AS22" i="1"/>
  <c r="AM23" i="1"/>
  <c r="AO23" i="1" s="1"/>
  <c r="Z25" i="1"/>
  <c r="AA25" i="1" s="1"/>
  <c r="AF24" i="1"/>
  <c r="AE24" i="1"/>
  <c r="P82" i="1"/>
  <c r="S82" i="1"/>
  <c r="O83" i="1" s="1"/>
  <c r="AZ22" i="1" l="1"/>
  <c r="AP23" i="1"/>
  <c r="AQ23" i="1"/>
  <c r="AN23" i="1"/>
  <c r="AH24" i="1"/>
  <c r="AG24" i="1"/>
  <c r="AB25" i="1"/>
  <c r="U26" i="1" s="1"/>
  <c r="V26" i="1" s="1"/>
  <c r="P83" i="1"/>
  <c r="S83" i="1"/>
  <c r="O84" i="1" s="1"/>
  <c r="AR23" i="1" l="1"/>
  <c r="BA22" i="1"/>
  <c r="BB22" i="1"/>
  <c r="AU23" i="1" s="1"/>
  <c r="BC23" i="1" s="1"/>
  <c r="AI24" i="1"/>
  <c r="W26" i="1"/>
  <c r="P84" i="1"/>
  <c r="S84" i="1"/>
  <c r="O85" i="1" s="1"/>
  <c r="AV23" i="1" l="1"/>
  <c r="AW23" i="1"/>
  <c r="AJ24" i="1"/>
  <c r="AK24" i="1"/>
  <c r="AD25" i="1" s="1"/>
  <c r="Y26" i="1"/>
  <c r="X26" i="1"/>
  <c r="P85" i="1"/>
  <c r="S85" i="1"/>
  <c r="O86" i="1" s="1"/>
  <c r="AY23" i="1" l="1"/>
  <c r="AX23" i="1"/>
  <c r="Z26" i="1"/>
  <c r="AA26" i="1" s="1"/>
  <c r="AS23" i="1"/>
  <c r="AM24" i="1"/>
  <c r="AO24" i="1" s="1"/>
  <c r="AE25" i="1"/>
  <c r="AF25" i="1"/>
  <c r="P86" i="1"/>
  <c r="S86" i="1"/>
  <c r="O87" i="1" s="1"/>
  <c r="AZ23" i="1" l="1"/>
  <c r="AP24" i="1"/>
  <c r="AQ24" i="1"/>
  <c r="AN24" i="1"/>
  <c r="AH25" i="1"/>
  <c r="AG25" i="1"/>
  <c r="AB26" i="1"/>
  <c r="U27" i="1" s="1"/>
  <c r="V27" i="1" s="1"/>
  <c r="P87" i="1"/>
  <c r="S87" i="1"/>
  <c r="O88" i="1" s="1"/>
  <c r="AR24" i="1" l="1"/>
  <c r="BA23" i="1"/>
  <c r="BB23" i="1"/>
  <c r="AU24" i="1" s="1"/>
  <c r="BC24" i="1" s="1"/>
  <c r="AI25" i="1"/>
  <c r="W27" i="1"/>
  <c r="P88" i="1"/>
  <c r="S88" i="1"/>
  <c r="O89" i="1" s="1"/>
  <c r="AV24" i="1" l="1"/>
  <c r="AW24" i="1"/>
  <c r="AJ25" i="1"/>
  <c r="AK25" i="1"/>
  <c r="AD26" i="1" s="1"/>
  <c r="Y27" i="1"/>
  <c r="X27" i="1"/>
  <c r="P89" i="1"/>
  <c r="S89" i="1"/>
  <c r="O90" i="1" s="1"/>
  <c r="AY24" i="1" l="1"/>
  <c r="AX24" i="1"/>
  <c r="Z27" i="1"/>
  <c r="AS24" i="1"/>
  <c r="AM25" i="1"/>
  <c r="AO25" i="1" s="1"/>
  <c r="AE26" i="1"/>
  <c r="AF26" i="1"/>
  <c r="AA27" i="1"/>
  <c r="P90" i="1"/>
  <c r="S90" i="1"/>
  <c r="O91" i="1" s="1"/>
  <c r="AZ24" i="1" l="1"/>
  <c r="AP25" i="1"/>
  <c r="AQ25" i="1"/>
  <c r="AN25" i="1"/>
  <c r="AH26" i="1"/>
  <c r="AG26" i="1"/>
  <c r="AB27" i="1"/>
  <c r="U28" i="1" s="1"/>
  <c r="V28" i="1" s="1"/>
  <c r="P91" i="1"/>
  <c r="S91" i="1"/>
  <c r="O92" i="1" s="1"/>
  <c r="AR25" i="1" l="1"/>
  <c r="BA24" i="1"/>
  <c r="BB24" i="1"/>
  <c r="AU25" i="1" s="1"/>
  <c r="BC25" i="1" s="1"/>
  <c r="AI26" i="1"/>
  <c r="W28" i="1"/>
  <c r="P92" i="1"/>
  <c r="S92" i="1"/>
  <c r="O93" i="1" s="1"/>
  <c r="AV25" i="1" l="1"/>
  <c r="AW25" i="1"/>
  <c r="AJ26" i="1"/>
  <c r="AK26" i="1"/>
  <c r="AD27" i="1" s="1"/>
  <c r="Y28" i="1"/>
  <c r="X28" i="1"/>
  <c r="P93" i="1"/>
  <c r="S93" i="1"/>
  <c r="O94" i="1" s="1"/>
  <c r="AY25" i="1" l="1"/>
  <c r="AX25" i="1"/>
  <c r="Z28" i="1"/>
  <c r="AA28" i="1" s="1"/>
  <c r="AS25" i="1"/>
  <c r="AM26" i="1"/>
  <c r="AO26" i="1" s="1"/>
  <c r="AF27" i="1"/>
  <c r="AE27" i="1"/>
  <c r="P94" i="1"/>
  <c r="S94" i="1"/>
  <c r="O95" i="1" s="1"/>
  <c r="AZ25" i="1" l="1"/>
  <c r="BB25" i="1" s="1"/>
  <c r="AU26" i="1" s="1"/>
  <c r="BC26" i="1" s="1"/>
  <c r="AP26" i="1"/>
  <c r="AQ26" i="1"/>
  <c r="AN26" i="1"/>
  <c r="AH27" i="1"/>
  <c r="AG27" i="1"/>
  <c r="AB28" i="1"/>
  <c r="U29" i="1" s="1"/>
  <c r="V29" i="1" s="1"/>
  <c r="P95" i="1"/>
  <c r="S95" i="1"/>
  <c r="O96" i="1" s="1"/>
  <c r="AR26" i="1" l="1"/>
  <c r="BA25" i="1"/>
  <c r="AV26" i="1"/>
  <c r="AI27" i="1"/>
  <c r="W29" i="1"/>
  <c r="P96" i="1"/>
  <c r="S96" i="1"/>
  <c r="O97" i="1" s="1"/>
  <c r="AW26" i="1" l="1"/>
  <c r="AJ27" i="1"/>
  <c r="AK27" i="1"/>
  <c r="AD28" i="1" s="1"/>
  <c r="Y29" i="1"/>
  <c r="X29" i="1"/>
  <c r="P97" i="1"/>
  <c r="S97" i="1"/>
  <c r="O98" i="1" s="1"/>
  <c r="AY26" i="1" l="1"/>
  <c r="AX26" i="1"/>
  <c r="AS26" i="1"/>
  <c r="AM27" i="1"/>
  <c r="AO27" i="1" s="1"/>
  <c r="Z29" i="1"/>
  <c r="AA29" i="1" s="1"/>
  <c r="AF28" i="1"/>
  <c r="AE28" i="1"/>
  <c r="P98" i="1"/>
  <c r="S98" i="1"/>
  <c r="O99" i="1" s="1"/>
  <c r="AZ26" i="1" l="1"/>
  <c r="AP27" i="1"/>
  <c r="AQ27" i="1"/>
  <c r="AN27" i="1"/>
  <c r="AH28" i="1"/>
  <c r="AG28" i="1"/>
  <c r="AB29" i="1"/>
  <c r="U30" i="1" s="1"/>
  <c r="V30" i="1" s="1"/>
  <c r="P99" i="1"/>
  <c r="S99" i="1"/>
  <c r="O100" i="1" s="1"/>
  <c r="AR27" i="1" l="1"/>
  <c r="BA26" i="1"/>
  <c r="BB26" i="1"/>
  <c r="AU27" i="1" s="1"/>
  <c r="BC27" i="1" s="1"/>
  <c r="AI28" i="1"/>
  <c r="W30" i="1"/>
  <c r="P100" i="1"/>
  <c r="S100" i="1"/>
  <c r="O101" i="1" s="1"/>
  <c r="AV27" i="1" l="1"/>
  <c r="AW27" i="1"/>
  <c r="AJ28" i="1"/>
  <c r="AK28" i="1"/>
  <c r="AD29" i="1" s="1"/>
  <c r="Y30" i="1"/>
  <c r="X30" i="1"/>
  <c r="P101" i="1"/>
  <c r="S101" i="1"/>
  <c r="O102" i="1" s="1"/>
  <c r="AY27" i="1" l="1"/>
  <c r="AX27" i="1"/>
  <c r="Z30" i="1"/>
  <c r="AA30" i="1" s="1"/>
  <c r="AS27" i="1"/>
  <c r="AM28" i="1"/>
  <c r="AO28" i="1" s="1"/>
  <c r="AF29" i="1"/>
  <c r="AE29" i="1"/>
  <c r="P102" i="1"/>
  <c r="S102" i="1"/>
  <c r="O103" i="1" s="1"/>
  <c r="AZ27" i="1" l="1"/>
  <c r="AP28" i="1"/>
  <c r="AQ28" i="1"/>
  <c r="AN28" i="1"/>
  <c r="AH29" i="1"/>
  <c r="AG29" i="1"/>
  <c r="AI29" i="1" s="1"/>
  <c r="AB30" i="1"/>
  <c r="U31" i="1" s="1"/>
  <c r="V31" i="1" s="1"/>
  <c r="P103" i="1"/>
  <c r="S103" i="1"/>
  <c r="O104" i="1" s="1"/>
  <c r="AR28" i="1" l="1"/>
  <c r="BA27" i="1"/>
  <c r="BB27" i="1"/>
  <c r="AU28" i="1" s="1"/>
  <c r="BC28" i="1" s="1"/>
  <c r="W31" i="1"/>
  <c r="P104" i="1"/>
  <c r="S104" i="1"/>
  <c r="O105" i="1" s="1"/>
  <c r="AV28" i="1" l="1"/>
  <c r="AW28" i="1"/>
  <c r="AJ29" i="1"/>
  <c r="AK29" i="1"/>
  <c r="AD30" i="1" s="1"/>
  <c r="Y31" i="1"/>
  <c r="X31" i="1"/>
  <c r="P105" i="1"/>
  <c r="S105" i="1"/>
  <c r="O106" i="1" s="1"/>
  <c r="AY28" i="1" l="1"/>
  <c r="AX28" i="1"/>
  <c r="Z31" i="1"/>
  <c r="AA31" i="1" s="1"/>
  <c r="AS28" i="1"/>
  <c r="AM29" i="1"/>
  <c r="AO29" i="1" s="1"/>
  <c r="AF30" i="1"/>
  <c r="AE30" i="1"/>
  <c r="P106" i="1"/>
  <c r="S106" i="1"/>
  <c r="O107" i="1" s="1"/>
  <c r="AZ28" i="1" l="1"/>
  <c r="AP29" i="1"/>
  <c r="AQ29" i="1"/>
  <c r="AN29" i="1"/>
  <c r="AH30" i="1"/>
  <c r="AG30" i="1"/>
  <c r="AB31" i="1"/>
  <c r="U32" i="1" s="1"/>
  <c r="V32" i="1" s="1"/>
  <c r="P107" i="1"/>
  <c r="S107" i="1"/>
  <c r="O108" i="1" s="1"/>
  <c r="AI30" i="1" l="1"/>
  <c r="AK30" i="1" s="1"/>
  <c r="AD31" i="1" s="1"/>
  <c r="AR29" i="1"/>
  <c r="BA28" i="1"/>
  <c r="BB28" i="1"/>
  <c r="AU29" i="1" s="1"/>
  <c r="BC29" i="1" s="1"/>
  <c r="W32" i="1"/>
  <c r="P108" i="1"/>
  <c r="S108" i="1"/>
  <c r="O109" i="1" s="1"/>
  <c r="AJ30" i="1" l="1"/>
  <c r="AV29" i="1"/>
  <c r="AW29" i="1"/>
  <c r="AF31" i="1"/>
  <c r="AE31" i="1"/>
  <c r="Y32" i="1"/>
  <c r="X32" i="1"/>
  <c r="P109" i="1"/>
  <c r="S109" i="1"/>
  <c r="O110" i="1" s="1"/>
  <c r="AY29" i="1" l="1"/>
  <c r="AX29" i="1"/>
  <c r="Z32" i="1"/>
  <c r="AA32" i="1" s="1"/>
  <c r="AS29" i="1"/>
  <c r="AM30" i="1"/>
  <c r="AO30" i="1" s="1"/>
  <c r="AH31" i="1"/>
  <c r="AG31" i="1"/>
  <c r="P110" i="1"/>
  <c r="S110" i="1"/>
  <c r="O111" i="1" s="1"/>
  <c r="AZ29" i="1" l="1"/>
  <c r="AP30" i="1"/>
  <c r="AQ30" i="1"/>
  <c r="AN30" i="1"/>
  <c r="AI31" i="1"/>
  <c r="AJ31" i="1" s="1"/>
  <c r="AB32" i="1"/>
  <c r="U33" i="1" s="1"/>
  <c r="V33" i="1" s="1"/>
  <c r="P111" i="1"/>
  <c r="S111" i="1"/>
  <c r="O112" i="1" s="1"/>
  <c r="AR30" i="1" l="1"/>
  <c r="BA29" i="1"/>
  <c r="BB29" i="1"/>
  <c r="AU30" i="1" s="1"/>
  <c r="BC30" i="1" s="1"/>
  <c r="AK31" i="1"/>
  <c r="AD32" i="1" s="1"/>
  <c r="AE32" i="1" s="1"/>
  <c r="W33" i="1"/>
  <c r="P112" i="1"/>
  <c r="S112" i="1"/>
  <c r="O113" i="1" s="1"/>
  <c r="AV30" i="1" l="1"/>
  <c r="AF32" i="1"/>
  <c r="AG32" i="1" s="1"/>
  <c r="AW30" i="1"/>
  <c r="Y33" i="1"/>
  <c r="X33" i="1"/>
  <c r="P113" i="1"/>
  <c r="S113" i="1"/>
  <c r="O114" i="1" s="1"/>
  <c r="AH32" i="1" l="1"/>
  <c r="AY30" i="1"/>
  <c r="AX30" i="1"/>
  <c r="AZ30" i="1" s="1"/>
  <c r="AI32" i="1"/>
  <c r="Z33" i="1"/>
  <c r="AA33" i="1" s="1"/>
  <c r="AS30" i="1"/>
  <c r="AM31" i="1"/>
  <c r="AO31" i="1" s="1"/>
  <c r="P114" i="1"/>
  <c r="S114" i="1"/>
  <c r="O115" i="1" s="1"/>
  <c r="AP31" i="1" l="1"/>
  <c r="AQ31" i="1"/>
  <c r="AN31" i="1"/>
  <c r="AJ32" i="1"/>
  <c r="AK32" i="1"/>
  <c r="AD33" i="1" s="1"/>
  <c r="AB33" i="1"/>
  <c r="U34" i="1" s="1"/>
  <c r="V34" i="1" s="1"/>
  <c r="P115" i="1"/>
  <c r="S115" i="1"/>
  <c r="O116" i="1" s="1"/>
  <c r="AR31" i="1" l="1"/>
  <c r="BA30" i="1"/>
  <c r="BB30" i="1"/>
  <c r="AU31" i="1" s="1"/>
  <c r="BC31" i="1" s="1"/>
  <c r="AE33" i="1"/>
  <c r="AF33" i="1"/>
  <c r="W34" i="1"/>
  <c r="P116" i="1"/>
  <c r="S116" i="1"/>
  <c r="O117" i="1" s="1"/>
  <c r="AV31" i="1" l="1"/>
  <c r="AW31" i="1"/>
  <c r="X34" i="1"/>
  <c r="Z34" i="1" s="1"/>
  <c r="AA34" i="1" s="1"/>
  <c r="AH33" i="1"/>
  <c r="AG33" i="1"/>
  <c r="Y34" i="1"/>
  <c r="P117" i="1"/>
  <c r="S117" i="1"/>
  <c r="O118" i="1" s="1"/>
  <c r="AY31" i="1" l="1"/>
  <c r="AX31" i="1"/>
  <c r="AI33" i="1"/>
  <c r="AS31" i="1"/>
  <c r="AM32" i="1"/>
  <c r="AO32" i="1" s="1"/>
  <c r="AB34" i="1"/>
  <c r="U35" i="1" s="1"/>
  <c r="V35" i="1" s="1"/>
  <c r="P118" i="1"/>
  <c r="S118" i="1"/>
  <c r="O119" i="1" s="1"/>
  <c r="AZ31" i="1" l="1"/>
  <c r="AP32" i="1"/>
  <c r="AQ32" i="1"/>
  <c r="AN32" i="1"/>
  <c r="AJ33" i="1"/>
  <c r="AK33" i="1"/>
  <c r="AD34" i="1" s="1"/>
  <c r="W35" i="1"/>
  <c r="P119" i="1"/>
  <c r="S119" i="1"/>
  <c r="O120" i="1" s="1"/>
  <c r="AR32" i="1" l="1"/>
  <c r="BA31" i="1"/>
  <c r="BB31" i="1"/>
  <c r="AU32" i="1" s="1"/>
  <c r="BC32" i="1" s="1"/>
  <c r="AF34" i="1"/>
  <c r="AE34" i="1"/>
  <c r="Y35" i="1"/>
  <c r="X35" i="1"/>
  <c r="P120" i="1"/>
  <c r="S120" i="1"/>
  <c r="O121" i="1" s="1"/>
  <c r="AV32" i="1" l="1"/>
  <c r="Z35" i="1"/>
  <c r="AA35" i="1" s="1"/>
  <c r="AW32" i="1"/>
  <c r="AH34" i="1"/>
  <c r="AG34" i="1"/>
  <c r="P121" i="1"/>
  <c r="S121" i="1"/>
  <c r="O122" i="1" s="1"/>
  <c r="AY32" i="1" l="1"/>
  <c r="AX32" i="1"/>
  <c r="AI34" i="1"/>
  <c r="AS32" i="1"/>
  <c r="AM33" i="1"/>
  <c r="AO33" i="1" s="1"/>
  <c r="AB35" i="1"/>
  <c r="U36" i="1" s="1"/>
  <c r="V36" i="1" s="1"/>
  <c r="P122" i="1"/>
  <c r="S122" i="1"/>
  <c r="O123" i="1" s="1"/>
  <c r="AZ32" i="1" l="1"/>
  <c r="AP33" i="1"/>
  <c r="AQ33" i="1"/>
  <c r="AN33" i="1"/>
  <c r="AJ34" i="1"/>
  <c r="AK34" i="1"/>
  <c r="AD35" i="1" s="1"/>
  <c r="W36" i="1"/>
  <c r="P123" i="1"/>
  <c r="S123" i="1"/>
  <c r="O124" i="1" s="1"/>
  <c r="AR33" i="1" l="1"/>
  <c r="BA32" i="1"/>
  <c r="BB32" i="1"/>
  <c r="AU33" i="1" s="1"/>
  <c r="BC33" i="1" s="1"/>
  <c r="AF35" i="1"/>
  <c r="AE35" i="1"/>
  <c r="Y36" i="1"/>
  <c r="X36" i="1"/>
  <c r="P124" i="1"/>
  <c r="S124" i="1"/>
  <c r="O125" i="1" s="1"/>
  <c r="AV33" i="1" l="1"/>
  <c r="Z36" i="1"/>
  <c r="AA36" i="1" s="1"/>
  <c r="AW33" i="1"/>
  <c r="AH35" i="1"/>
  <c r="AG35" i="1"/>
  <c r="P125" i="1"/>
  <c r="S125" i="1"/>
  <c r="O126" i="1" s="1"/>
  <c r="AY33" i="1" l="1"/>
  <c r="AX33" i="1"/>
  <c r="AI35" i="1"/>
  <c r="AS33" i="1"/>
  <c r="AM34" i="1"/>
  <c r="AO34" i="1" s="1"/>
  <c r="AB36" i="1"/>
  <c r="U37" i="1" s="1"/>
  <c r="V37" i="1" s="1"/>
  <c r="P126" i="1"/>
  <c r="S126" i="1"/>
  <c r="O127" i="1" s="1"/>
  <c r="AZ33" i="1" l="1"/>
  <c r="AP34" i="1"/>
  <c r="AQ34" i="1"/>
  <c r="AN34" i="1"/>
  <c r="AJ35" i="1"/>
  <c r="AK35" i="1"/>
  <c r="AD36" i="1" s="1"/>
  <c r="W37" i="1"/>
  <c r="P127" i="1"/>
  <c r="S127" i="1"/>
  <c r="O128" i="1" s="1"/>
  <c r="AR34" i="1" l="1"/>
  <c r="BA33" i="1"/>
  <c r="BB33" i="1"/>
  <c r="AU34" i="1" s="1"/>
  <c r="BC34" i="1" s="1"/>
  <c r="Y37" i="1"/>
  <c r="AE36" i="1"/>
  <c r="AF36" i="1"/>
  <c r="X37" i="1"/>
  <c r="P128" i="1"/>
  <c r="S128" i="1"/>
  <c r="O129" i="1" s="1"/>
  <c r="Z37" i="1" l="1"/>
  <c r="AA37" i="1" s="1"/>
  <c r="AV34" i="1"/>
  <c r="AW34" i="1"/>
  <c r="AH36" i="1"/>
  <c r="AG36" i="1"/>
  <c r="P129" i="1"/>
  <c r="S129" i="1"/>
  <c r="O130" i="1" s="1"/>
  <c r="AB37" i="1" l="1"/>
  <c r="U38" i="1" s="1"/>
  <c r="V38" i="1" s="1"/>
  <c r="AY34" i="1"/>
  <c r="AX34" i="1"/>
  <c r="AI36" i="1"/>
  <c r="AS34" i="1"/>
  <c r="AM35" i="1"/>
  <c r="AO35" i="1" s="1"/>
  <c r="W38" i="1"/>
  <c r="P130" i="1"/>
  <c r="S130" i="1"/>
  <c r="O131" i="1" s="1"/>
  <c r="AZ34" i="1" l="1"/>
  <c r="BA34" i="1" s="1"/>
  <c r="AP35" i="1"/>
  <c r="AQ35" i="1"/>
  <c r="AN35" i="1"/>
  <c r="AJ36" i="1"/>
  <c r="AK36" i="1"/>
  <c r="AD37" i="1" s="1"/>
  <c r="Y38" i="1"/>
  <c r="X38" i="1"/>
  <c r="P131" i="1"/>
  <c r="S131" i="1"/>
  <c r="O132" i="1" s="1"/>
  <c r="AR35" i="1" l="1"/>
  <c r="BB34" i="1"/>
  <c r="AU35" i="1" s="1"/>
  <c r="Z38" i="1"/>
  <c r="AA38" i="1" s="1"/>
  <c r="AE37" i="1"/>
  <c r="AF37" i="1"/>
  <c r="P132" i="1"/>
  <c r="S132" i="1"/>
  <c r="O133" i="1" s="1"/>
  <c r="AV35" i="1" l="1"/>
  <c r="BC35" i="1"/>
  <c r="AW35" i="1"/>
  <c r="AH37" i="1"/>
  <c r="AG37" i="1"/>
  <c r="AB38" i="1"/>
  <c r="U39" i="1" s="1"/>
  <c r="V39" i="1" s="1"/>
  <c r="P133" i="1"/>
  <c r="S133" i="1"/>
  <c r="O134" i="1" s="1"/>
  <c r="AY35" i="1" l="1"/>
  <c r="AX35" i="1"/>
  <c r="AS35" i="1"/>
  <c r="AM36" i="1"/>
  <c r="AO36" i="1" s="1"/>
  <c r="AI37" i="1"/>
  <c r="W39" i="1"/>
  <c r="P134" i="1"/>
  <c r="S134" i="1"/>
  <c r="O135" i="1" s="1"/>
  <c r="AZ35" i="1" l="1"/>
  <c r="AP36" i="1"/>
  <c r="AQ36" i="1"/>
  <c r="AN36" i="1"/>
  <c r="AJ37" i="1"/>
  <c r="AK37" i="1"/>
  <c r="AD38" i="1" s="1"/>
  <c r="Y39" i="1"/>
  <c r="X39" i="1"/>
  <c r="P135" i="1"/>
  <c r="S135" i="1"/>
  <c r="O136" i="1" s="1"/>
  <c r="AR36" i="1" l="1"/>
  <c r="BA35" i="1"/>
  <c r="BB35" i="1"/>
  <c r="AU36" i="1" s="1"/>
  <c r="BC36" i="1" s="1"/>
  <c r="Z39" i="1"/>
  <c r="AA39" i="1" s="1"/>
  <c r="AF38" i="1"/>
  <c r="AE38" i="1"/>
  <c r="P136" i="1"/>
  <c r="S136" i="1"/>
  <c r="O137" i="1" s="1"/>
  <c r="AV36" i="1" l="1"/>
  <c r="AW36" i="1"/>
  <c r="AH38" i="1"/>
  <c r="AG38" i="1"/>
  <c r="AB39" i="1"/>
  <c r="U40" i="1" s="1"/>
  <c r="V40" i="1" s="1"/>
  <c r="P137" i="1"/>
  <c r="S137" i="1"/>
  <c r="O138" i="1" s="1"/>
  <c r="AY36" i="1" l="1"/>
  <c r="AX36" i="1"/>
  <c r="AI38" i="1"/>
  <c r="AS36" i="1"/>
  <c r="AM37" i="1"/>
  <c r="AO37" i="1" s="1"/>
  <c r="W40" i="1"/>
  <c r="P138" i="1"/>
  <c r="S138" i="1"/>
  <c r="O139" i="1" s="1"/>
  <c r="AZ36" i="1" l="1"/>
  <c r="AP37" i="1"/>
  <c r="AQ37" i="1"/>
  <c r="AN37" i="1"/>
  <c r="AJ38" i="1"/>
  <c r="AK38" i="1"/>
  <c r="AD39" i="1" s="1"/>
  <c r="Y40" i="1"/>
  <c r="X40" i="1"/>
  <c r="P139" i="1"/>
  <c r="S139" i="1"/>
  <c r="O140" i="1" s="1"/>
  <c r="AR37" i="1" l="1"/>
  <c r="BA36" i="1"/>
  <c r="BB36" i="1"/>
  <c r="AU37" i="1" s="1"/>
  <c r="BC37" i="1" s="1"/>
  <c r="Z40" i="1"/>
  <c r="AA40" i="1" s="1"/>
  <c r="AF39" i="1"/>
  <c r="AE39" i="1"/>
  <c r="P140" i="1"/>
  <c r="S140" i="1"/>
  <c r="O141" i="1" s="1"/>
  <c r="AV37" i="1" l="1"/>
  <c r="AW37" i="1"/>
  <c r="AH39" i="1"/>
  <c r="AG39" i="1"/>
  <c r="AB40" i="1"/>
  <c r="U41" i="1" s="1"/>
  <c r="V41" i="1" s="1"/>
  <c r="P141" i="1"/>
  <c r="S141" i="1"/>
  <c r="O142" i="1" s="1"/>
  <c r="AY37" i="1" l="1"/>
  <c r="AX37" i="1"/>
  <c r="AI39" i="1"/>
  <c r="AJ39" i="1" s="1"/>
  <c r="AS37" i="1"/>
  <c r="AM38" i="1"/>
  <c r="AO38" i="1" s="1"/>
  <c r="W41" i="1"/>
  <c r="P142" i="1"/>
  <c r="S142" i="1"/>
  <c r="O143" i="1" s="1"/>
  <c r="AZ37" i="1" l="1"/>
  <c r="AP38" i="1"/>
  <c r="AQ38" i="1"/>
  <c r="AK39" i="1"/>
  <c r="AD40" i="1" s="1"/>
  <c r="AE40" i="1" s="1"/>
  <c r="AN38" i="1"/>
  <c r="Y41" i="1"/>
  <c r="X41" i="1"/>
  <c r="P143" i="1"/>
  <c r="S143" i="1"/>
  <c r="O144" i="1" s="1"/>
  <c r="AF40" i="1" l="1"/>
  <c r="AR38" i="1"/>
  <c r="BA37" i="1"/>
  <c r="BB37" i="1"/>
  <c r="AU38" i="1" s="1"/>
  <c r="BC38" i="1" s="1"/>
  <c r="Z41" i="1"/>
  <c r="AA41" i="1" s="1"/>
  <c r="AH40" i="1"/>
  <c r="AG40" i="1"/>
  <c r="P144" i="1"/>
  <c r="S144" i="1"/>
  <c r="O145" i="1" s="1"/>
  <c r="AV38" i="1" l="1"/>
  <c r="AW38" i="1"/>
  <c r="AI40" i="1"/>
  <c r="AB41" i="1"/>
  <c r="U42" i="1" s="1"/>
  <c r="V42" i="1" s="1"/>
  <c r="P145" i="1"/>
  <c r="S145" i="1"/>
  <c r="O146" i="1" s="1"/>
  <c r="AY38" i="1" l="1"/>
  <c r="AX38" i="1"/>
  <c r="AS38" i="1"/>
  <c r="AM39" i="1"/>
  <c r="AO39" i="1" s="1"/>
  <c r="AJ40" i="1"/>
  <c r="AK40" i="1"/>
  <c r="AD41" i="1" s="1"/>
  <c r="W42" i="1"/>
  <c r="P146" i="1"/>
  <c r="S146" i="1"/>
  <c r="O147" i="1" s="1"/>
  <c r="AZ38" i="1" l="1"/>
  <c r="AP39" i="1"/>
  <c r="AQ39" i="1"/>
  <c r="AN39" i="1"/>
  <c r="AE41" i="1"/>
  <c r="AF41" i="1"/>
  <c r="Y42" i="1"/>
  <c r="X42" i="1"/>
  <c r="P147" i="1"/>
  <c r="S147" i="1"/>
  <c r="O148" i="1" s="1"/>
  <c r="AR39" i="1" l="1"/>
  <c r="BA38" i="1"/>
  <c r="BB38" i="1"/>
  <c r="AU39" i="1" s="1"/>
  <c r="BC39" i="1" s="1"/>
  <c r="Z42" i="1"/>
  <c r="AA42" i="1" s="1"/>
  <c r="AH41" i="1"/>
  <c r="AG41" i="1"/>
  <c r="AI41" i="1" s="1"/>
  <c r="P148" i="1"/>
  <c r="S148" i="1"/>
  <c r="O149" i="1" s="1"/>
  <c r="AV39" i="1" l="1"/>
  <c r="AW39" i="1"/>
  <c r="AJ41" i="1"/>
  <c r="AK41" i="1"/>
  <c r="AD42" i="1" s="1"/>
  <c r="AB42" i="1"/>
  <c r="U43" i="1" s="1"/>
  <c r="V43" i="1" s="1"/>
  <c r="P149" i="1"/>
  <c r="S149" i="1"/>
  <c r="O150" i="1" s="1"/>
  <c r="AY39" i="1" l="1"/>
  <c r="AX39" i="1"/>
  <c r="AS39" i="1"/>
  <c r="AM40" i="1"/>
  <c r="AO40" i="1" s="1"/>
  <c r="AE42" i="1"/>
  <c r="AF42" i="1"/>
  <c r="W43" i="1"/>
  <c r="P150" i="1"/>
  <c r="S150" i="1"/>
  <c r="O151" i="1" s="1"/>
  <c r="AZ39" i="1" l="1"/>
  <c r="AP40" i="1"/>
  <c r="AQ40" i="1"/>
  <c r="AN40" i="1"/>
  <c r="AH42" i="1"/>
  <c r="AG42" i="1"/>
  <c r="Y43" i="1"/>
  <c r="X43" i="1"/>
  <c r="P151" i="1"/>
  <c r="S151" i="1"/>
  <c r="O152" i="1" s="1"/>
  <c r="AR40" i="1" l="1"/>
  <c r="BA39" i="1"/>
  <c r="BB39" i="1"/>
  <c r="AU40" i="1" s="1"/>
  <c r="BC40" i="1" s="1"/>
  <c r="AI42" i="1"/>
  <c r="Z43" i="1"/>
  <c r="AA43" i="1" s="1"/>
  <c r="P152" i="1"/>
  <c r="S152" i="1"/>
  <c r="O153" i="1" s="1"/>
  <c r="AV40" i="1" l="1"/>
  <c r="AW40" i="1"/>
  <c r="AJ42" i="1"/>
  <c r="AK42" i="1"/>
  <c r="AD43" i="1" s="1"/>
  <c r="AB43" i="1"/>
  <c r="U44" i="1" s="1"/>
  <c r="V44" i="1" s="1"/>
  <c r="P153" i="1"/>
  <c r="S153" i="1"/>
  <c r="O154" i="1" s="1"/>
  <c r="AY40" i="1" l="1"/>
  <c r="AX40" i="1"/>
  <c r="AS40" i="1"/>
  <c r="AM41" i="1"/>
  <c r="AO41" i="1" s="1"/>
  <c r="AE43" i="1"/>
  <c r="AF43" i="1"/>
  <c r="W44" i="1"/>
  <c r="P154" i="1"/>
  <c r="S154" i="1"/>
  <c r="O155" i="1" s="1"/>
  <c r="AZ40" i="1" l="1"/>
  <c r="AP41" i="1"/>
  <c r="AQ41" i="1"/>
  <c r="AN41" i="1"/>
  <c r="AH43" i="1"/>
  <c r="AG43" i="1"/>
  <c r="AI43" i="1" s="1"/>
  <c r="Y44" i="1"/>
  <c r="X44" i="1"/>
  <c r="P155" i="1"/>
  <c r="S155" i="1"/>
  <c r="O156" i="1" s="1"/>
  <c r="AR41" i="1" l="1"/>
  <c r="BA40" i="1"/>
  <c r="BB40" i="1"/>
  <c r="AU41" i="1" s="1"/>
  <c r="BC41" i="1" s="1"/>
  <c r="Z44" i="1"/>
  <c r="AA44" i="1" s="1"/>
  <c r="AJ43" i="1"/>
  <c r="AK43" i="1"/>
  <c r="AD44" i="1" s="1"/>
  <c r="P156" i="1"/>
  <c r="S156" i="1"/>
  <c r="O157" i="1" s="1"/>
  <c r="AV41" i="1" l="1"/>
  <c r="AW41" i="1"/>
  <c r="AF44" i="1"/>
  <c r="AE44" i="1"/>
  <c r="AB44" i="1"/>
  <c r="U45" i="1" s="1"/>
  <c r="V45" i="1" s="1"/>
  <c r="P157" i="1"/>
  <c r="S157" i="1"/>
  <c r="O158" i="1" s="1"/>
  <c r="AY41" i="1" l="1"/>
  <c r="AX41" i="1"/>
  <c r="AS41" i="1"/>
  <c r="AM42" i="1"/>
  <c r="AO42" i="1" s="1"/>
  <c r="AH44" i="1"/>
  <c r="AG44" i="1"/>
  <c r="AI44" i="1" s="1"/>
  <c r="W45" i="1"/>
  <c r="P158" i="1"/>
  <c r="S158" i="1"/>
  <c r="O159" i="1" s="1"/>
  <c r="AZ41" i="1" l="1"/>
  <c r="AP42" i="1"/>
  <c r="AQ42" i="1"/>
  <c r="AN42" i="1"/>
  <c r="AJ44" i="1"/>
  <c r="AK44" i="1"/>
  <c r="AD45" i="1" s="1"/>
  <c r="Y45" i="1"/>
  <c r="X45" i="1"/>
  <c r="P159" i="1"/>
  <c r="S159" i="1"/>
  <c r="O160" i="1" s="1"/>
  <c r="AR42" i="1" l="1"/>
  <c r="BA41" i="1"/>
  <c r="BB41" i="1"/>
  <c r="AU42" i="1" s="1"/>
  <c r="BC42" i="1" s="1"/>
  <c r="Z45" i="1"/>
  <c r="AA45" i="1" s="1"/>
  <c r="AE45" i="1"/>
  <c r="AF45" i="1"/>
  <c r="P160" i="1"/>
  <c r="S160" i="1"/>
  <c r="O161" i="1" s="1"/>
  <c r="AV42" i="1" l="1"/>
  <c r="AW42" i="1"/>
  <c r="AH45" i="1"/>
  <c r="AG45" i="1"/>
  <c r="AB45" i="1"/>
  <c r="U46" i="1" s="1"/>
  <c r="V46" i="1" s="1"/>
  <c r="P161" i="1"/>
  <c r="S161" i="1"/>
  <c r="O162" i="1" s="1"/>
  <c r="AY42" i="1" l="1"/>
  <c r="AX42" i="1"/>
  <c r="AS42" i="1"/>
  <c r="AM43" i="1"/>
  <c r="AO43" i="1" s="1"/>
  <c r="AI45" i="1"/>
  <c r="W46" i="1"/>
  <c r="P162" i="1"/>
  <c r="S162" i="1"/>
  <c r="O163" i="1" s="1"/>
  <c r="AZ42" i="1" l="1"/>
  <c r="BA42" i="1" s="1"/>
  <c r="AP43" i="1"/>
  <c r="AQ43" i="1"/>
  <c r="AN43" i="1"/>
  <c r="AJ45" i="1"/>
  <c r="AK45" i="1"/>
  <c r="AD46" i="1" s="1"/>
  <c r="Y46" i="1"/>
  <c r="X46" i="1"/>
  <c r="P163" i="1"/>
  <c r="S163" i="1"/>
  <c r="O164" i="1" s="1"/>
  <c r="BB42" i="1" l="1"/>
  <c r="AU43" i="1" s="1"/>
  <c r="BC43" i="1" s="1"/>
  <c r="AR43" i="1"/>
  <c r="Z46" i="1"/>
  <c r="AA46" i="1" s="1"/>
  <c r="AE46" i="1"/>
  <c r="AF46" i="1"/>
  <c r="P164" i="1"/>
  <c r="S164" i="1"/>
  <c r="O165" i="1" s="1"/>
  <c r="AV43" i="1" l="1"/>
  <c r="AW43" i="1"/>
  <c r="AH46" i="1"/>
  <c r="AG46" i="1"/>
  <c r="AB46" i="1"/>
  <c r="U47" i="1" s="1"/>
  <c r="V47" i="1" s="1"/>
  <c r="P165" i="1"/>
  <c r="S165" i="1"/>
  <c r="O166" i="1" s="1"/>
  <c r="AY43" i="1" l="1"/>
  <c r="AX43" i="1"/>
  <c r="AI46" i="1"/>
  <c r="AJ46" i="1" s="1"/>
  <c r="AS43" i="1"/>
  <c r="AM44" i="1"/>
  <c r="AO44" i="1" s="1"/>
  <c r="W47" i="1"/>
  <c r="P166" i="1"/>
  <c r="S166" i="1"/>
  <c r="O167" i="1" s="1"/>
  <c r="AZ43" i="1" l="1"/>
  <c r="AP44" i="1"/>
  <c r="AQ44" i="1"/>
  <c r="AK46" i="1"/>
  <c r="AD47" i="1" s="1"/>
  <c r="AE47" i="1" s="1"/>
  <c r="AN44" i="1"/>
  <c r="Y47" i="1"/>
  <c r="X47" i="1"/>
  <c r="P167" i="1"/>
  <c r="S167" i="1"/>
  <c r="O168" i="1" s="1"/>
  <c r="AF47" i="1" l="1"/>
  <c r="AR44" i="1"/>
  <c r="Z47" i="1"/>
  <c r="AA47" i="1" s="1"/>
  <c r="BA43" i="1"/>
  <c r="BB43" i="1"/>
  <c r="AU44" i="1" s="1"/>
  <c r="BC44" i="1" s="1"/>
  <c r="AH47" i="1"/>
  <c r="AG47" i="1"/>
  <c r="AI47" i="1" s="1"/>
  <c r="P168" i="1"/>
  <c r="S168" i="1"/>
  <c r="O169" i="1" s="1"/>
  <c r="AV44" i="1" l="1"/>
  <c r="AW44" i="1"/>
  <c r="AJ47" i="1"/>
  <c r="AK47" i="1"/>
  <c r="AD48" i="1" s="1"/>
  <c r="AB47" i="1"/>
  <c r="U48" i="1" s="1"/>
  <c r="V48" i="1" s="1"/>
  <c r="P169" i="1"/>
  <c r="S169" i="1"/>
  <c r="O170" i="1" s="1"/>
  <c r="AY44" i="1" l="1"/>
  <c r="AX44" i="1"/>
  <c r="AS44" i="1"/>
  <c r="AM45" i="1"/>
  <c r="AO45" i="1" s="1"/>
  <c r="AE48" i="1"/>
  <c r="AF48" i="1"/>
  <c r="W48" i="1"/>
  <c r="S170" i="1"/>
  <c r="O171" i="1" s="1"/>
  <c r="P170" i="1"/>
  <c r="AZ44" i="1" l="1"/>
  <c r="BA44" i="1" s="1"/>
  <c r="AP45" i="1"/>
  <c r="AQ45" i="1"/>
  <c r="BB44" i="1"/>
  <c r="AU45" i="1" s="1"/>
  <c r="BC45" i="1" s="1"/>
  <c r="AN45" i="1"/>
  <c r="Y48" i="1"/>
  <c r="AH48" i="1"/>
  <c r="AG48" i="1"/>
  <c r="X48" i="1"/>
  <c r="S171" i="1"/>
  <c r="O172" i="1" s="1"/>
  <c r="P171" i="1"/>
  <c r="AR45" i="1" l="1"/>
  <c r="AV45" i="1"/>
  <c r="Z48" i="1"/>
  <c r="AA48" i="1" s="1"/>
  <c r="AI48" i="1"/>
  <c r="S172" i="1"/>
  <c r="O173" i="1" s="1"/>
  <c r="P172" i="1"/>
  <c r="AB48" i="1" l="1"/>
  <c r="U49" i="1" s="1"/>
  <c r="V49" i="1" s="1"/>
  <c r="AW45" i="1"/>
  <c r="AJ48" i="1"/>
  <c r="AK48" i="1"/>
  <c r="AD49" i="1" s="1"/>
  <c r="W49" i="1"/>
  <c r="S173" i="1"/>
  <c r="O174" i="1" s="1"/>
  <c r="P173" i="1"/>
  <c r="AY45" i="1" l="1"/>
  <c r="AX45" i="1"/>
  <c r="AS45" i="1"/>
  <c r="AM46" i="1"/>
  <c r="AO46" i="1" s="1"/>
  <c r="Y49" i="1"/>
  <c r="AF49" i="1"/>
  <c r="AE49" i="1"/>
  <c r="X49" i="1"/>
  <c r="S174" i="1"/>
  <c r="O175" i="1" s="1"/>
  <c r="P174" i="1"/>
  <c r="Z49" i="1" l="1"/>
  <c r="AZ45" i="1"/>
  <c r="AP46" i="1"/>
  <c r="AQ46" i="1"/>
  <c r="AN46" i="1"/>
  <c r="AA49" i="1"/>
  <c r="AH49" i="1"/>
  <c r="AG49" i="1"/>
  <c r="AB49" i="1"/>
  <c r="U50" i="1" s="1"/>
  <c r="V50" i="1" s="1"/>
  <c r="S175" i="1"/>
  <c r="O176" i="1" s="1"/>
  <c r="P175" i="1"/>
  <c r="AR46" i="1" l="1"/>
  <c r="BA45" i="1"/>
  <c r="BB45" i="1"/>
  <c r="AU46" i="1" s="1"/>
  <c r="BC46" i="1" s="1"/>
  <c r="AI49" i="1"/>
  <c r="AJ49" i="1" s="1"/>
  <c r="W50" i="1"/>
  <c r="S176" i="1"/>
  <c r="O177" i="1" s="1"/>
  <c r="P176" i="1"/>
  <c r="AV46" i="1" l="1"/>
  <c r="AK49" i="1"/>
  <c r="AD50" i="1" s="1"/>
  <c r="AF50" i="1" s="1"/>
  <c r="AW46" i="1"/>
  <c r="Y50" i="1"/>
  <c r="X50" i="1"/>
  <c r="S177" i="1"/>
  <c r="O178" i="1" s="1"/>
  <c r="P177" i="1"/>
  <c r="AE50" i="1" l="1"/>
  <c r="AY46" i="1"/>
  <c r="AX46" i="1"/>
  <c r="Z50" i="1"/>
  <c r="AA50" i="1" s="1"/>
  <c r="AS46" i="1"/>
  <c r="AM47" i="1"/>
  <c r="AO47" i="1" s="1"/>
  <c r="AH50" i="1"/>
  <c r="AG50" i="1"/>
  <c r="S178" i="1"/>
  <c r="O179" i="1" s="1"/>
  <c r="P178" i="1"/>
  <c r="AZ46" i="1" l="1"/>
  <c r="BB46" i="1" s="1"/>
  <c r="AU47" i="1" s="1"/>
  <c r="BC47" i="1" s="1"/>
  <c r="AP47" i="1"/>
  <c r="AQ47" i="1"/>
  <c r="AI50" i="1"/>
  <c r="AN47" i="1"/>
  <c r="AB50" i="1"/>
  <c r="U51" i="1" s="1"/>
  <c r="V51" i="1" s="1"/>
  <c r="S179" i="1"/>
  <c r="O180" i="1" s="1"/>
  <c r="P179" i="1"/>
  <c r="BA46" i="1" l="1"/>
  <c r="AR47" i="1"/>
  <c r="AV47" i="1"/>
  <c r="AJ50" i="1"/>
  <c r="AK50" i="1"/>
  <c r="AD51" i="1" s="1"/>
  <c r="W51" i="1"/>
  <c r="S180" i="1"/>
  <c r="O181" i="1" s="1"/>
  <c r="P180" i="1"/>
  <c r="AW47" i="1" l="1"/>
  <c r="AE51" i="1"/>
  <c r="AF51" i="1"/>
  <c r="Y51" i="1"/>
  <c r="X51" i="1"/>
  <c r="S181" i="1"/>
  <c r="O182" i="1" s="1"/>
  <c r="P181" i="1"/>
  <c r="AY47" i="1" l="1"/>
  <c r="AX47" i="1"/>
  <c r="AS47" i="1"/>
  <c r="AM48" i="1"/>
  <c r="AO48" i="1" s="1"/>
  <c r="Z51" i="1"/>
  <c r="AA51" i="1" s="1"/>
  <c r="AH51" i="1"/>
  <c r="AG51" i="1"/>
  <c r="S182" i="1"/>
  <c r="O183" i="1" s="1"/>
  <c r="P182" i="1"/>
  <c r="AZ47" i="1" l="1"/>
  <c r="BB47" i="1" s="1"/>
  <c r="AU48" i="1" s="1"/>
  <c r="BC48" i="1" s="1"/>
  <c r="AP48" i="1"/>
  <c r="AQ48" i="1"/>
  <c r="AN48" i="1"/>
  <c r="AI51" i="1"/>
  <c r="AB51" i="1"/>
  <c r="U52" i="1" s="1"/>
  <c r="V52" i="1" s="1"/>
  <c r="S183" i="1"/>
  <c r="O184" i="1" s="1"/>
  <c r="P183" i="1"/>
  <c r="AR48" i="1" l="1"/>
  <c r="BA47" i="1"/>
  <c r="AV48" i="1"/>
  <c r="AJ51" i="1"/>
  <c r="AK51" i="1"/>
  <c r="AD52" i="1" s="1"/>
  <c r="W52" i="1"/>
  <c r="S184" i="1"/>
  <c r="O185" i="1" s="1"/>
  <c r="P184" i="1"/>
  <c r="AW48" i="1" l="1"/>
  <c r="AF52" i="1"/>
  <c r="AE52" i="1"/>
  <c r="Y52" i="1"/>
  <c r="X52" i="1"/>
  <c r="S185" i="1"/>
  <c r="O186" i="1" s="1"/>
  <c r="P185" i="1"/>
  <c r="AY48" i="1" l="1"/>
  <c r="AX48" i="1"/>
  <c r="Z52" i="1"/>
  <c r="AA52" i="1" s="1"/>
  <c r="AS48" i="1"/>
  <c r="AM49" i="1"/>
  <c r="AO49" i="1" s="1"/>
  <c r="AH52" i="1"/>
  <c r="AG52" i="1"/>
  <c r="S186" i="1"/>
  <c r="O187" i="1" s="1"/>
  <c r="P186" i="1"/>
  <c r="AZ48" i="1" l="1"/>
  <c r="AP49" i="1"/>
  <c r="AQ49" i="1"/>
  <c r="AI52" i="1"/>
  <c r="AN49" i="1"/>
  <c r="AB52" i="1"/>
  <c r="U53" i="1" s="1"/>
  <c r="V53" i="1" s="1"/>
  <c r="S187" i="1"/>
  <c r="O188" i="1" s="1"/>
  <c r="P187" i="1"/>
  <c r="AR49" i="1" l="1"/>
  <c r="BA48" i="1"/>
  <c r="BB48" i="1"/>
  <c r="AU49" i="1" s="1"/>
  <c r="BC49" i="1" s="1"/>
  <c r="AJ52" i="1"/>
  <c r="AK52" i="1"/>
  <c r="AD53" i="1" s="1"/>
  <c r="W53" i="1"/>
  <c r="P188" i="1"/>
  <c r="S188" i="1"/>
  <c r="O189" i="1" s="1"/>
  <c r="AV49" i="1" l="1"/>
  <c r="AW49" i="1"/>
  <c r="AE53" i="1"/>
  <c r="AF53" i="1"/>
  <c r="Y53" i="1"/>
  <c r="X53" i="1"/>
  <c r="P189" i="1"/>
  <c r="S189" i="1"/>
  <c r="O190" i="1" s="1"/>
  <c r="AY49" i="1" l="1"/>
  <c r="AX49" i="1"/>
  <c r="Z53" i="1"/>
  <c r="AA53" i="1" s="1"/>
  <c r="AS49" i="1"/>
  <c r="AM50" i="1"/>
  <c r="AO50" i="1" s="1"/>
  <c r="AH53" i="1"/>
  <c r="AG53" i="1"/>
  <c r="P190" i="1"/>
  <c r="S190" i="1"/>
  <c r="O191" i="1" s="1"/>
  <c r="AZ49" i="1" l="1"/>
  <c r="AP50" i="1"/>
  <c r="AQ50" i="1"/>
  <c r="AI53" i="1"/>
  <c r="AN50" i="1"/>
  <c r="AB53" i="1"/>
  <c r="U54" i="1" s="1"/>
  <c r="V54" i="1" s="1"/>
  <c r="P191" i="1"/>
  <c r="S191" i="1"/>
  <c r="O192" i="1" s="1"/>
  <c r="AR50" i="1" l="1"/>
  <c r="BA49" i="1"/>
  <c r="BB49" i="1"/>
  <c r="AU50" i="1" s="1"/>
  <c r="BC50" i="1" s="1"/>
  <c r="AJ53" i="1"/>
  <c r="AK53" i="1"/>
  <c r="AD54" i="1" s="1"/>
  <c r="W54" i="1"/>
  <c r="P192" i="1"/>
  <c r="S192" i="1"/>
  <c r="O193" i="1" s="1"/>
  <c r="AV50" i="1" l="1"/>
  <c r="AW50" i="1"/>
  <c r="AE54" i="1"/>
  <c r="AF54" i="1"/>
  <c r="Y54" i="1"/>
  <c r="X54" i="1"/>
  <c r="P193" i="1"/>
  <c r="S193" i="1"/>
  <c r="O194" i="1" s="1"/>
  <c r="AY50" i="1" l="1"/>
  <c r="AX50" i="1"/>
  <c r="Z54" i="1"/>
  <c r="AA54" i="1" s="1"/>
  <c r="AS50" i="1"/>
  <c r="AM51" i="1"/>
  <c r="AO51" i="1" s="1"/>
  <c r="AH54" i="1"/>
  <c r="AG54" i="1"/>
  <c r="P194" i="1"/>
  <c r="S194" i="1"/>
  <c r="O195" i="1" s="1"/>
  <c r="AZ50" i="1" l="1"/>
  <c r="AP51" i="1"/>
  <c r="AQ51" i="1"/>
  <c r="AI54" i="1"/>
  <c r="AN51" i="1"/>
  <c r="AB54" i="1"/>
  <c r="U55" i="1" s="1"/>
  <c r="V55" i="1" s="1"/>
  <c r="P195" i="1"/>
  <c r="S195" i="1"/>
  <c r="O196" i="1" s="1"/>
  <c r="AR51" i="1" l="1"/>
  <c r="BA50" i="1"/>
  <c r="BB50" i="1"/>
  <c r="AU51" i="1" s="1"/>
  <c r="BC51" i="1" s="1"/>
  <c r="AJ54" i="1"/>
  <c r="AK54" i="1"/>
  <c r="AD55" i="1" s="1"/>
  <c r="W55" i="1"/>
  <c r="P196" i="1"/>
  <c r="S196" i="1"/>
  <c r="O197" i="1" s="1"/>
  <c r="AV51" i="1" l="1"/>
  <c r="AW51" i="1"/>
  <c r="AF55" i="1"/>
  <c r="AE55" i="1"/>
  <c r="Y55" i="1"/>
  <c r="X55" i="1"/>
  <c r="P197" i="1"/>
  <c r="S197" i="1"/>
  <c r="O198" i="1" s="1"/>
  <c r="AY51" i="1" l="1"/>
  <c r="AX51" i="1"/>
  <c r="Z55" i="1"/>
  <c r="AA55" i="1" s="1"/>
  <c r="AS51" i="1"/>
  <c r="AM52" i="1"/>
  <c r="AO52" i="1" s="1"/>
  <c r="AH55" i="1"/>
  <c r="AG55" i="1"/>
  <c r="P198" i="1"/>
  <c r="S198" i="1"/>
  <c r="O199" i="1" s="1"/>
  <c r="AZ51" i="1" l="1"/>
  <c r="AP52" i="1"/>
  <c r="AQ52" i="1"/>
  <c r="AN52" i="1"/>
  <c r="AI55" i="1"/>
  <c r="AB55" i="1"/>
  <c r="U56" i="1" s="1"/>
  <c r="V56" i="1" s="1"/>
  <c r="P199" i="1"/>
  <c r="S199" i="1"/>
  <c r="O200" i="1" s="1"/>
  <c r="AR52" i="1" l="1"/>
  <c r="BA51" i="1"/>
  <c r="BB51" i="1"/>
  <c r="AU52" i="1" s="1"/>
  <c r="BC52" i="1" s="1"/>
  <c r="AJ55" i="1"/>
  <c r="AK55" i="1"/>
  <c r="AD56" i="1" s="1"/>
  <c r="W56" i="1"/>
  <c r="P200" i="1"/>
  <c r="S200" i="1"/>
  <c r="O201" i="1" s="1"/>
  <c r="AV52" i="1" l="1"/>
  <c r="AW52" i="1"/>
  <c r="AE56" i="1"/>
  <c r="AF56" i="1"/>
  <c r="Y56" i="1"/>
  <c r="X56" i="1"/>
  <c r="P201" i="1"/>
  <c r="S201" i="1"/>
  <c r="O202" i="1" s="1"/>
  <c r="AY52" i="1" l="1"/>
  <c r="AX52" i="1"/>
  <c r="Z56" i="1"/>
  <c r="AA56" i="1" s="1"/>
  <c r="AS52" i="1"/>
  <c r="AM53" i="1"/>
  <c r="AO53" i="1" s="1"/>
  <c r="AH56" i="1"/>
  <c r="AG56" i="1"/>
  <c r="P202" i="1"/>
  <c r="S202" i="1"/>
  <c r="O203" i="1" s="1"/>
  <c r="AZ52" i="1" l="1"/>
  <c r="AP53" i="1"/>
  <c r="AQ53" i="1"/>
  <c r="AI56" i="1"/>
  <c r="AN53" i="1"/>
  <c r="AB56" i="1"/>
  <c r="U57" i="1" s="1"/>
  <c r="V57" i="1" s="1"/>
  <c r="P203" i="1"/>
  <c r="S203" i="1"/>
  <c r="O204" i="1" s="1"/>
  <c r="AR53" i="1" l="1"/>
  <c r="BA52" i="1"/>
  <c r="BB52" i="1"/>
  <c r="AU53" i="1" s="1"/>
  <c r="BC53" i="1" s="1"/>
  <c r="AJ56" i="1"/>
  <c r="AK56" i="1"/>
  <c r="AD57" i="1" s="1"/>
  <c r="W57" i="1"/>
  <c r="P204" i="1"/>
  <c r="S204" i="1"/>
  <c r="O205" i="1" s="1"/>
  <c r="AV53" i="1" l="1"/>
  <c r="AW53" i="1"/>
  <c r="AE57" i="1"/>
  <c r="AF57" i="1"/>
  <c r="Y57" i="1"/>
  <c r="X57" i="1"/>
  <c r="P205" i="1"/>
  <c r="S205" i="1"/>
  <c r="O206" i="1" s="1"/>
  <c r="AY53" i="1" l="1"/>
  <c r="AX53" i="1"/>
  <c r="Z57" i="1"/>
  <c r="AA57" i="1" s="1"/>
  <c r="AS53" i="1"/>
  <c r="AM54" i="1"/>
  <c r="AO54" i="1" s="1"/>
  <c r="AH57" i="1"/>
  <c r="AG57" i="1"/>
  <c r="P206" i="1"/>
  <c r="S206" i="1"/>
  <c r="O207" i="1" s="1"/>
  <c r="AZ53" i="1" l="1"/>
  <c r="AP54" i="1"/>
  <c r="AQ54" i="1"/>
  <c r="AI57" i="1"/>
  <c r="AJ57" i="1" s="1"/>
  <c r="AN54" i="1"/>
  <c r="AB57" i="1"/>
  <c r="U58" i="1" s="1"/>
  <c r="V58" i="1" s="1"/>
  <c r="P207" i="1"/>
  <c r="S207" i="1"/>
  <c r="O208" i="1" s="1"/>
  <c r="AR54" i="1" l="1"/>
  <c r="BA53" i="1"/>
  <c r="BB53" i="1"/>
  <c r="AU54" i="1" s="1"/>
  <c r="BC54" i="1" s="1"/>
  <c r="AK57" i="1"/>
  <c r="AD58" i="1" s="1"/>
  <c r="AF58" i="1" s="1"/>
  <c r="W58" i="1"/>
  <c r="P208" i="1"/>
  <c r="S208" i="1"/>
  <c r="O209" i="1" s="1"/>
  <c r="AV54" i="1" l="1"/>
  <c r="AW54" i="1"/>
  <c r="AE58" i="1"/>
  <c r="AH58" i="1"/>
  <c r="AG58" i="1"/>
  <c r="Y58" i="1"/>
  <c r="X58" i="1"/>
  <c r="P209" i="1"/>
  <c r="S209" i="1"/>
  <c r="O210" i="1" s="1"/>
  <c r="AY54" i="1" l="1"/>
  <c r="AX54" i="1"/>
  <c r="AI58" i="1"/>
  <c r="AS54" i="1"/>
  <c r="AM55" i="1"/>
  <c r="AO55" i="1" s="1"/>
  <c r="Z58" i="1"/>
  <c r="AA58" i="1" s="1"/>
  <c r="P210" i="1"/>
  <c r="S210" i="1"/>
  <c r="O211" i="1" s="1"/>
  <c r="AZ54" i="1" l="1"/>
  <c r="AP55" i="1"/>
  <c r="AQ55" i="1"/>
  <c r="AN55" i="1"/>
  <c r="AJ58" i="1"/>
  <c r="AK58" i="1"/>
  <c r="AD59" i="1" s="1"/>
  <c r="AB58" i="1"/>
  <c r="U59" i="1" s="1"/>
  <c r="V59" i="1" s="1"/>
  <c r="P211" i="1"/>
  <c r="S211" i="1"/>
  <c r="O212" i="1" s="1"/>
  <c r="AR55" i="1" l="1"/>
  <c r="BA54" i="1"/>
  <c r="BB54" i="1"/>
  <c r="AU55" i="1" s="1"/>
  <c r="BC55" i="1" s="1"/>
  <c r="AE59" i="1"/>
  <c r="AF59" i="1"/>
  <c r="W59" i="1"/>
  <c r="P212" i="1"/>
  <c r="S212" i="1"/>
  <c r="O213" i="1" s="1"/>
  <c r="AV55" i="1" l="1"/>
  <c r="AW55" i="1"/>
  <c r="AH59" i="1"/>
  <c r="AG59" i="1"/>
  <c r="Y59" i="1"/>
  <c r="X59" i="1"/>
  <c r="P213" i="1"/>
  <c r="S213" i="1"/>
  <c r="O214" i="1" s="1"/>
  <c r="AY55" i="1" l="1"/>
  <c r="AX55" i="1"/>
  <c r="AI59" i="1"/>
  <c r="Z59" i="1"/>
  <c r="AA59" i="1" s="1"/>
  <c r="AS55" i="1"/>
  <c r="AM56" i="1"/>
  <c r="AO56" i="1" s="1"/>
  <c r="P214" i="1"/>
  <c r="S214" i="1"/>
  <c r="O215" i="1" s="1"/>
  <c r="AZ55" i="1" l="1"/>
  <c r="BA55" i="1" s="1"/>
  <c r="AP56" i="1"/>
  <c r="AQ56" i="1"/>
  <c r="AN56" i="1"/>
  <c r="AJ59" i="1"/>
  <c r="AK59" i="1"/>
  <c r="AD60" i="1" s="1"/>
  <c r="AB59" i="1"/>
  <c r="U60" i="1" s="1"/>
  <c r="V60" i="1" s="1"/>
  <c r="P215" i="1"/>
  <c r="S215" i="1"/>
  <c r="O216" i="1" s="1"/>
  <c r="AR56" i="1" l="1"/>
  <c r="BB55" i="1"/>
  <c r="AU56" i="1" s="1"/>
  <c r="BC56" i="1" s="1"/>
  <c r="AE60" i="1"/>
  <c r="AF60" i="1"/>
  <c r="W60" i="1"/>
  <c r="P216" i="1"/>
  <c r="S216" i="1"/>
  <c r="O217" i="1" s="1"/>
  <c r="AV56" i="1" l="1"/>
  <c r="AW56" i="1"/>
  <c r="AH60" i="1"/>
  <c r="AG60" i="1"/>
  <c r="Y60" i="1"/>
  <c r="X60" i="1"/>
  <c r="P217" i="1"/>
  <c r="S217" i="1"/>
  <c r="O218" i="1" s="1"/>
  <c r="AY56" i="1" l="1"/>
  <c r="AX56" i="1"/>
  <c r="Z60" i="1"/>
  <c r="AA60" i="1" s="1"/>
  <c r="AI60" i="1"/>
  <c r="AS56" i="1"/>
  <c r="AM57" i="1"/>
  <c r="AO57" i="1" s="1"/>
  <c r="P218" i="1"/>
  <c r="S218" i="1"/>
  <c r="O219" i="1" s="1"/>
  <c r="AZ56" i="1" l="1"/>
  <c r="AP57" i="1"/>
  <c r="AQ57" i="1"/>
  <c r="AN57" i="1"/>
  <c r="AJ60" i="1"/>
  <c r="AK60" i="1"/>
  <c r="AD61" i="1" s="1"/>
  <c r="AB60" i="1"/>
  <c r="U61" i="1" s="1"/>
  <c r="V61" i="1" s="1"/>
  <c r="P219" i="1"/>
  <c r="S219" i="1"/>
  <c r="O220" i="1" s="1"/>
  <c r="AR57" i="1" l="1"/>
  <c r="BA56" i="1"/>
  <c r="BB56" i="1"/>
  <c r="AU57" i="1" s="1"/>
  <c r="BC57" i="1" s="1"/>
  <c r="AF61" i="1"/>
  <c r="AE61" i="1"/>
  <c r="W61" i="1"/>
  <c r="P220" i="1"/>
  <c r="S220" i="1"/>
  <c r="O221" i="1" s="1"/>
  <c r="AV57" i="1" l="1"/>
  <c r="AW57" i="1"/>
  <c r="AH61" i="1"/>
  <c r="AG61" i="1"/>
  <c r="Y61" i="1"/>
  <c r="X61" i="1"/>
  <c r="P221" i="1"/>
  <c r="S221" i="1"/>
  <c r="O222" i="1" s="1"/>
  <c r="AY57" i="1" l="1"/>
  <c r="AX57" i="1"/>
  <c r="AI61" i="1"/>
  <c r="Z61" i="1"/>
  <c r="AA61" i="1" s="1"/>
  <c r="AS57" i="1"/>
  <c r="AM58" i="1"/>
  <c r="AO58" i="1" s="1"/>
  <c r="P222" i="1"/>
  <c r="S222" i="1"/>
  <c r="O223" i="1" s="1"/>
  <c r="AZ57" i="1" l="1"/>
  <c r="AP58" i="1"/>
  <c r="AQ58" i="1"/>
  <c r="AN58" i="1"/>
  <c r="AJ61" i="1"/>
  <c r="AK61" i="1"/>
  <c r="AD62" i="1" s="1"/>
  <c r="AB61" i="1"/>
  <c r="U62" i="1" s="1"/>
  <c r="V62" i="1" s="1"/>
  <c r="P223" i="1"/>
  <c r="S223" i="1"/>
  <c r="O224" i="1" s="1"/>
  <c r="AR58" i="1" l="1"/>
  <c r="BA57" i="1"/>
  <c r="BB57" i="1"/>
  <c r="AU58" i="1" s="1"/>
  <c r="BC58" i="1" s="1"/>
  <c r="AE62" i="1"/>
  <c r="AF62" i="1"/>
  <c r="W62" i="1"/>
  <c r="P224" i="1"/>
  <c r="S224" i="1"/>
  <c r="O225" i="1" s="1"/>
  <c r="AV58" i="1" l="1"/>
  <c r="AW58" i="1"/>
  <c r="AH62" i="1"/>
  <c r="AG62" i="1"/>
  <c r="Y62" i="1"/>
  <c r="X62" i="1"/>
  <c r="P225" i="1"/>
  <c r="S225" i="1"/>
  <c r="O226" i="1" s="1"/>
  <c r="AY58" i="1" l="1"/>
  <c r="AX58" i="1"/>
  <c r="AS58" i="1"/>
  <c r="AM59" i="1"/>
  <c r="AO59" i="1" s="1"/>
  <c r="AI62" i="1"/>
  <c r="AJ62" i="1" s="1"/>
  <c r="Z62" i="1"/>
  <c r="AA62" i="1" s="1"/>
  <c r="P226" i="1"/>
  <c r="S226" i="1"/>
  <c r="O227" i="1" s="1"/>
  <c r="AZ58" i="1" l="1"/>
  <c r="AP59" i="1"/>
  <c r="AQ59" i="1"/>
  <c r="AN59" i="1"/>
  <c r="AK62" i="1"/>
  <c r="AD63" i="1" s="1"/>
  <c r="AE63" i="1" s="1"/>
  <c r="AB62" i="1"/>
  <c r="U63" i="1" s="1"/>
  <c r="V63" i="1" s="1"/>
  <c r="P227" i="1"/>
  <c r="S227" i="1"/>
  <c r="O228" i="1" s="1"/>
  <c r="AR59" i="1" l="1"/>
  <c r="BA58" i="1"/>
  <c r="BB58" i="1"/>
  <c r="AU59" i="1" s="1"/>
  <c r="BC59" i="1" s="1"/>
  <c r="AF63" i="1"/>
  <c r="AG63" i="1" s="1"/>
  <c r="W63" i="1"/>
  <c r="P228" i="1"/>
  <c r="S228" i="1"/>
  <c r="O229" i="1" s="1"/>
  <c r="AV59" i="1" l="1"/>
  <c r="AW59" i="1"/>
  <c r="AH63" i="1"/>
  <c r="AI63" i="1" s="1"/>
  <c r="Y63" i="1"/>
  <c r="X63" i="1"/>
  <c r="P229" i="1"/>
  <c r="S229" i="1"/>
  <c r="O230" i="1" s="1"/>
  <c r="AY59" i="1" l="1"/>
  <c r="AX59" i="1"/>
  <c r="AZ59" i="1" s="1"/>
  <c r="Z63" i="1"/>
  <c r="AA63" i="1" s="1"/>
  <c r="AS59" i="1"/>
  <c r="AM60" i="1"/>
  <c r="AO60" i="1" s="1"/>
  <c r="AJ63" i="1"/>
  <c r="AK63" i="1"/>
  <c r="AD64" i="1" s="1"/>
  <c r="P230" i="1"/>
  <c r="S230" i="1"/>
  <c r="O231" i="1" s="1"/>
  <c r="AP60" i="1" l="1"/>
  <c r="AQ60" i="1"/>
  <c r="AN60" i="1"/>
  <c r="AE64" i="1"/>
  <c r="AF64" i="1"/>
  <c r="AB63" i="1"/>
  <c r="U64" i="1" s="1"/>
  <c r="V64" i="1" s="1"/>
  <c r="P231" i="1"/>
  <c r="S231" i="1"/>
  <c r="O232" i="1" s="1"/>
  <c r="AR60" i="1" l="1"/>
  <c r="BA59" i="1"/>
  <c r="BB59" i="1"/>
  <c r="AU60" i="1" s="1"/>
  <c r="BC60" i="1" s="1"/>
  <c r="AH64" i="1"/>
  <c r="AG64" i="1"/>
  <c r="W64" i="1"/>
  <c r="P232" i="1"/>
  <c r="S232" i="1"/>
  <c r="O233" i="1" s="1"/>
  <c r="AI64" i="1" l="1"/>
  <c r="AV60" i="1"/>
  <c r="AW60" i="1"/>
  <c r="AJ64" i="1"/>
  <c r="Y64" i="1"/>
  <c r="X64" i="1"/>
  <c r="P233" i="1"/>
  <c r="S233" i="1"/>
  <c r="O234" i="1" s="1"/>
  <c r="Z64" i="1" l="1"/>
  <c r="AA64" i="1" s="1"/>
  <c r="AY60" i="1"/>
  <c r="AX60" i="1"/>
  <c r="AS60" i="1"/>
  <c r="AM61" i="1"/>
  <c r="AO61" i="1" s="1"/>
  <c r="AK64" i="1"/>
  <c r="AD65" i="1" s="1"/>
  <c r="AE65" i="1" s="1"/>
  <c r="P234" i="1"/>
  <c r="S234" i="1"/>
  <c r="O235" i="1" s="1"/>
  <c r="AZ60" i="1" l="1"/>
  <c r="BB60" i="1"/>
  <c r="AU61" i="1" s="1"/>
  <c r="BC61" i="1" s="1"/>
  <c r="AP61" i="1"/>
  <c r="AQ61" i="1"/>
  <c r="AN61" i="1"/>
  <c r="AF65" i="1"/>
  <c r="AB64" i="1"/>
  <c r="U65" i="1" s="1"/>
  <c r="V65" i="1" s="1"/>
  <c r="P235" i="1"/>
  <c r="S235" i="1"/>
  <c r="O236" i="1" s="1"/>
  <c r="AR61" i="1" l="1"/>
  <c r="BA60" i="1"/>
  <c r="AV61" i="1"/>
  <c r="AH65" i="1"/>
  <c r="AG65" i="1"/>
  <c r="W65" i="1"/>
  <c r="P236" i="1"/>
  <c r="S236" i="1"/>
  <c r="O237" i="1" s="1"/>
  <c r="AW61" i="1" l="1"/>
  <c r="AI65" i="1"/>
  <c r="AJ65" i="1" s="1"/>
  <c r="Y65" i="1"/>
  <c r="X65" i="1"/>
  <c r="P237" i="1"/>
  <c r="S237" i="1"/>
  <c r="O238" i="1" s="1"/>
  <c r="Z65" i="1" l="1"/>
  <c r="AA65" i="1" s="1"/>
  <c r="AY61" i="1"/>
  <c r="AX61" i="1"/>
  <c r="AZ61" i="1" s="1"/>
  <c r="AS61" i="1"/>
  <c r="AM62" i="1"/>
  <c r="AO62" i="1" s="1"/>
  <c r="AK65" i="1"/>
  <c r="AD66" i="1" s="1"/>
  <c r="AF66" i="1" s="1"/>
  <c r="AG66" i="1" s="1"/>
  <c r="P238" i="1"/>
  <c r="S238" i="1"/>
  <c r="O239" i="1" s="1"/>
  <c r="AP62" i="1" l="1"/>
  <c r="AQ62" i="1"/>
  <c r="AN62" i="1"/>
  <c r="AH66" i="1"/>
  <c r="AI66" i="1" s="1"/>
  <c r="AJ66" i="1" s="1"/>
  <c r="AE66" i="1"/>
  <c r="AB65" i="1"/>
  <c r="U66" i="1" s="1"/>
  <c r="V66" i="1" s="1"/>
  <c r="P239" i="1"/>
  <c r="S239" i="1"/>
  <c r="O240" i="1" s="1"/>
  <c r="AR62" i="1" l="1"/>
  <c r="BA61" i="1"/>
  <c r="BB61" i="1"/>
  <c r="AU62" i="1" s="1"/>
  <c r="BC62" i="1" s="1"/>
  <c r="AK66" i="1"/>
  <c r="AD67" i="1" s="1"/>
  <c r="AE67" i="1" s="1"/>
  <c r="W66" i="1"/>
  <c r="P240" i="1"/>
  <c r="S240" i="1"/>
  <c r="O241" i="1" s="1"/>
  <c r="AV62" i="1" l="1"/>
  <c r="AW62" i="1"/>
  <c r="AF67" i="1"/>
  <c r="AH67" i="1" s="1"/>
  <c r="Y66" i="1"/>
  <c r="X66" i="1"/>
  <c r="P241" i="1"/>
  <c r="S241" i="1"/>
  <c r="O242" i="1" s="1"/>
  <c r="AY62" i="1" l="1"/>
  <c r="AX62" i="1"/>
  <c r="AZ62" i="1" s="1"/>
  <c r="Z66" i="1"/>
  <c r="AA66" i="1" s="1"/>
  <c r="AS62" i="1"/>
  <c r="AM63" i="1"/>
  <c r="AO63" i="1" s="1"/>
  <c r="AG67" i="1"/>
  <c r="AI67" i="1" s="1"/>
  <c r="P242" i="1"/>
  <c r="S242" i="1"/>
  <c r="O243" i="1" s="1"/>
  <c r="BA62" i="1" l="1"/>
  <c r="AP63" i="1"/>
  <c r="AQ63" i="1"/>
  <c r="AN63" i="1"/>
  <c r="AJ67" i="1"/>
  <c r="AK67" i="1"/>
  <c r="AD68" i="1" s="1"/>
  <c r="AB66" i="1"/>
  <c r="U67" i="1" s="1"/>
  <c r="V67" i="1" s="1"/>
  <c r="P243" i="1"/>
  <c r="S243" i="1"/>
  <c r="O244" i="1" s="1"/>
  <c r="AR63" i="1" l="1"/>
  <c r="BB62" i="1"/>
  <c r="AU63" i="1" s="1"/>
  <c r="AE68" i="1"/>
  <c r="AF68" i="1"/>
  <c r="W67" i="1"/>
  <c r="P244" i="1"/>
  <c r="S244" i="1"/>
  <c r="O245" i="1" s="1"/>
  <c r="AV63" i="1" l="1"/>
  <c r="BC63" i="1"/>
  <c r="AW63" i="1"/>
  <c r="AH68" i="1"/>
  <c r="AG68" i="1"/>
  <c r="Y67" i="1"/>
  <c r="X67" i="1"/>
  <c r="P245" i="1"/>
  <c r="S245" i="1"/>
  <c r="O246" i="1" s="1"/>
  <c r="AY63" i="1" l="1"/>
  <c r="AX63" i="1"/>
  <c r="Z67" i="1"/>
  <c r="AA67" i="1" s="1"/>
  <c r="AI68" i="1"/>
  <c r="AS63" i="1"/>
  <c r="AM64" i="1"/>
  <c r="AO64" i="1" s="1"/>
  <c r="P246" i="1"/>
  <c r="S246" i="1"/>
  <c r="O247" i="1" s="1"/>
  <c r="AZ63" i="1" l="1"/>
  <c r="AP64" i="1"/>
  <c r="AQ64" i="1"/>
  <c r="AN64" i="1"/>
  <c r="AJ68" i="1"/>
  <c r="AK68" i="1"/>
  <c r="AD69" i="1" s="1"/>
  <c r="AB67" i="1"/>
  <c r="U68" i="1" s="1"/>
  <c r="V68" i="1" s="1"/>
  <c r="P247" i="1"/>
  <c r="S247" i="1"/>
  <c r="O248" i="1" s="1"/>
  <c r="AR64" i="1" l="1"/>
  <c r="BA63" i="1"/>
  <c r="BB63" i="1"/>
  <c r="AU64" i="1" s="1"/>
  <c r="BC64" i="1" s="1"/>
  <c r="AF69" i="1"/>
  <c r="AE69" i="1"/>
  <c r="W68" i="1"/>
  <c r="P248" i="1"/>
  <c r="S248" i="1"/>
  <c r="O249" i="1" s="1"/>
  <c r="AV64" i="1" l="1"/>
  <c r="AW64" i="1"/>
  <c r="AH69" i="1"/>
  <c r="AG69" i="1"/>
  <c r="Y68" i="1"/>
  <c r="X68" i="1"/>
  <c r="P249" i="1"/>
  <c r="S249" i="1"/>
  <c r="O250" i="1" s="1"/>
  <c r="AY64" i="1" l="1"/>
  <c r="AX64" i="1"/>
  <c r="Z68" i="1"/>
  <c r="AA68" i="1" s="1"/>
  <c r="AS64" i="1"/>
  <c r="AM65" i="1"/>
  <c r="AO65" i="1" s="1"/>
  <c r="AI69" i="1"/>
  <c r="S250" i="1"/>
  <c r="O251" i="1" s="1"/>
  <c r="P250" i="1"/>
  <c r="AZ64" i="1" l="1"/>
  <c r="AP65" i="1"/>
  <c r="AQ65" i="1"/>
  <c r="AN65" i="1"/>
  <c r="AJ69" i="1"/>
  <c r="AK69" i="1"/>
  <c r="AD70" i="1" s="1"/>
  <c r="AB68" i="1"/>
  <c r="U69" i="1" s="1"/>
  <c r="V69" i="1" s="1"/>
  <c r="S251" i="1"/>
  <c r="O252" i="1" s="1"/>
  <c r="P251" i="1"/>
  <c r="AR65" i="1" l="1"/>
  <c r="BA64" i="1"/>
  <c r="BB64" i="1"/>
  <c r="AU65" i="1" s="1"/>
  <c r="BC65" i="1" s="1"/>
  <c r="AF70" i="1"/>
  <c r="AE70" i="1"/>
  <c r="W69" i="1"/>
  <c r="S252" i="1"/>
  <c r="O253" i="1" s="1"/>
  <c r="P252" i="1"/>
  <c r="AV65" i="1" l="1"/>
  <c r="AW65" i="1"/>
  <c r="AH70" i="1"/>
  <c r="AG70" i="1"/>
  <c r="Y69" i="1"/>
  <c r="X69" i="1"/>
  <c r="S253" i="1"/>
  <c r="O254" i="1" s="1"/>
  <c r="P253" i="1"/>
  <c r="AY65" i="1" l="1"/>
  <c r="AX65" i="1"/>
  <c r="Z69" i="1"/>
  <c r="AA69" i="1" s="1"/>
  <c r="AS65" i="1"/>
  <c r="AM66" i="1"/>
  <c r="AO66" i="1" s="1"/>
  <c r="AI70" i="1"/>
  <c r="S254" i="1"/>
  <c r="O255" i="1" s="1"/>
  <c r="P254" i="1"/>
  <c r="AZ65" i="1" l="1"/>
  <c r="AP66" i="1"/>
  <c r="AQ66" i="1"/>
  <c r="AN66" i="1"/>
  <c r="AJ70" i="1"/>
  <c r="AK70" i="1"/>
  <c r="AD71" i="1" s="1"/>
  <c r="AB69" i="1"/>
  <c r="U70" i="1" s="1"/>
  <c r="V70" i="1" s="1"/>
  <c r="S255" i="1"/>
  <c r="O256" i="1" s="1"/>
  <c r="P255" i="1"/>
  <c r="AR66" i="1" l="1"/>
  <c r="BA65" i="1"/>
  <c r="BB65" i="1"/>
  <c r="AU66" i="1" s="1"/>
  <c r="BC66" i="1" s="1"/>
  <c r="AF71" i="1"/>
  <c r="AE71" i="1"/>
  <c r="W70" i="1"/>
  <c r="S256" i="1"/>
  <c r="O257" i="1" s="1"/>
  <c r="P256" i="1"/>
  <c r="AV66" i="1" l="1"/>
  <c r="AW66" i="1"/>
  <c r="AH71" i="1"/>
  <c r="AG71" i="1"/>
  <c r="Y70" i="1"/>
  <c r="X70" i="1"/>
  <c r="S257" i="1"/>
  <c r="O258" i="1" s="1"/>
  <c r="P257" i="1"/>
  <c r="AY66" i="1" l="1"/>
  <c r="AX66" i="1"/>
  <c r="Z70" i="1"/>
  <c r="AA70" i="1" s="1"/>
  <c r="AI71" i="1"/>
  <c r="AS66" i="1"/>
  <c r="AM67" i="1"/>
  <c r="AO67" i="1" s="1"/>
  <c r="S258" i="1"/>
  <c r="O259" i="1" s="1"/>
  <c r="P258" i="1"/>
  <c r="AZ66" i="1" l="1"/>
  <c r="AP67" i="1"/>
  <c r="AQ67" i="1"/>
  <c r="AN67" i="1"/>
  <c r="AJ71" i="1"/>
  <c r="AK71" i="1"/>
  <c r="AD72" i="1" s="1"/>
  <c r="AB70" i="1"/>
  <c r="U71" i="1" s="1"/>
  <c r="V71" i="1" s="1"/>
  <c r="S259" i="1"/>
  <c r="O260" i="1" s="1"/>
  <c r="P259" i="1"/>
  <c r="AR67" i="1" l="1"/>
  <c r="BA66" i="1"/>
  <c r="BB66" i="1"/>
  <c r="AU67" i="1" s="1"/>
  <c r="BC67" i="1" s="1"/>
  <c r="AF72" i="1"/>
  <c r="AE72" i="1"/>
  <c r="W71" i="1"/>
  <c r="S260" i="1"/>
  <c r="O261" i="1" s="1"/>
  <c r="P260" i="1"/>
  <c r="AV67" i="1" l="1"/>
  <c r="AW67" i="1"/>
  <c r="AH72" i="1"/>
  <c r="AG72" i="1"/>
  <c r="Y71" i="1"/>
  <c r="X71" i="1"/>
  <c r="S261" i="1"/>
  <c r="O262" i="1" s="1"/>
  <c r="P261" i="1"/>
  <c r="AY67" i="1" l="1"/>
  <c r="AX67" i="1"/>
  <c r="AZ67" i="1" s="1"/>
  <c r="AI72" i="1"/>
  <c r="AS67" i="1"/>
  <c r="AM68" i="1"/>
  <c r="AO68" i="1" s="1"/>
  <c r="Z71" i="1"/>
  <c r="AA71" i="1" s="1"/>
  <c r="S262" i="1"/>
  <c r="O263" i="1" s="1"/>
  <c r="P262" i="1"/>
  <c r="AP68" i="1" l="1"/>
  <c r="AQ68" i="1"/>
  <c r="AN68" i="1"/>
  <c r="AJ72" i="1"/>
  <c r="AK72" i="1"/>
  <c r="AD73" i="1" s="1"/>
  <c r="AB71" i="1"/>
  <c r="U72" i="1" s="1"/>
  <c r="V72" i="1" s="1"/>
  <c r="S263" i="1"/>
  <c r="O264" i="1" s="1"/>
  <c r="P263" i="1"/>
  <c r="AR68" i="1" l="1"/>
  <c r="BA67" i="1"/>
  <c r="BB67" i="1"/>
  <c r="AU68" i="1" s="1"/>
  <c r="BC68" i="1" s="1"/>
  <c r="AF73" i="1"/>
  <c r="AE73" i="1"/>
  <c r="W72" i="1"/>
  <c r="S264" i="1"/>
  <c r="O265" i="1" s="1"/>
  <c r="P264" i="1"/>
  <c r="AV68" i="1" l="1"/>
  <c r="AW68" i="1"/>
  <c r="AH73" i="1"/>
  <c r="AG73" i="1"/>
  <c r="Y72" i="1"/>
  <c r="X72" i="1"/>
  <c r="S265" i="1"/>
  <c r="O266" i="1" s="1"/>
  <c r="P265" i="1"/>
  <c r="AY68" i="1" l="1"/>
  <c r="AX68" i="1"/>
  <c r="AS68" i="1"/>
  <c r="AM69" i="1"/>
  <c r="AO69" i="1" s="1"/>
  <c r="AI73" i="1"/>
  <c r="AJ73" i="1" s="1"/>
  <c r="Z72" i="1"/>
  <c r="AA72" i="1" s="1"/>
  <c r="S266" i="1"/>
  <c r="O267" i="1" s="1"/>
  <c r="P266" i="1"/>
  <c r="AZ68" i="1" l="1"/>
  <c r="AP69" i="1"/>
  <c r="AQ69" i="1"/>
  <c r="AN69" i="1"/>
  <c r="AK73" i="1"/>
  <c r="AD74" i="1" s="1"/>
  <c r="AF74" i="1" s="1"/>
  <c r="AB72" i="1"/>
  <c r="U73" i="1" s="1"/>
  <c r="V73" i="1" s="1"/>
  <c r="S267" i="1"/>
  <c r="O268" i="1" s="1"/>
  <c r="P267" i="1"/>
  <c r="AR69" i="1" l="1"/>
  <c r="BA68" i="1"/>
  <c r="BB68" i="1"/>
  <c r="AU69" i="1" s="1"/>
  <c r="BC69" i="1" s="1"/>
  <c r="AE74" i="1"/>
  <c r="AH74" i="1"/>
  <c r="AG74" i="1"/>
  <c r="W73" i="1"/>
  <c r="S268" i="1"/>
  <c r="O269" i="1" s="1"/>
  <c r="P268" i="1"/>
  <c r="AV69" i="1" l="1"/>
  <c r="AI74" i="1"/>
  <c r="AW69" i="1"/>
  <c r="Y73" i="1"/>
  <c r="X73" i="1"/>
  <c r="S269" i="1"/>
  <c r="O270" i="1" s="1"/>
  <c r="P269" i="1"/>
  <c r="Z73" i="1" l="1"/>
  <c r="AA73" i="1" s="1"/>
  <c r="AY69" i="1"/>
  <c r="AX69" i="1"/>
  <c r="AS69" i="1"/>
  <c r="AM70" i="1"/>
  <c r="AO70" i="1" s="1"/>
  <c r="AJ74" i="1"/>
  <c r="AK74" i="1"/>
  <c r="AD75" i="1" s="1"/>
  <c r="S270" i="1"/>
  <c r="O271" i="1" s="1"/>
  <c r="P270" i="1"/>
  <c r="AZ69" i="1" l="1"/>
  <c r="AP70" i="1"/>
  <c r="AQ70" i="1"/>
  <c r="AN70" i="1"/>
  <c r="AF75" i="1"/>
  <c r="AE75" i="1"/>
  <c r="AB73" i="1"/>
  <c r="U74" i="1" s="1"/>
  <c r="V74" i="1" s="1"/>
  <c r="S271" i="1"/>
  <c r="O272" i="1" s="1"/>
  <c r="P271" i="1"/>
  <c r="AR70" i="1" l="1"/>
  <c r="BA69" i="1"/>
  <c r="BB69" i="1"/>
  <c r="AU70" i="1" s="1"/>
  <c r="BC70" i="1" s="1"/>
  <c r="AH75" i="1"/>
  <c r="AG75" i="1"/>
  <c r="W74" i="1"/>
  <c r="S272" i="1"/>
  <c r="O273" i="1" s="1"/>
  <c r="P272" i="1"/>
  <c r="AV70" i="1" l="1"/>
  <c r="AW70" i="1"/>
  <c r="AI75" i="1"/>
  <c r="Y74" i="1"/>
  <c r="X74" i="1"/>
  <c r="S273" i="1"/>
  <c r="O274" i="1" s="1"/>
  <c r="P273" i="1"/>
  <c r="AY70" i="1" l="1"/>
  <c r="AX70" i="1"/>
  <c r="Z74" i="1"/>
  <c r="AA74" i="1" s="1"/>
  <c r="AS70" i="1"/>
  <c r="AM71" i="1"/>
  <c r="AO71" i="1" s="1"/>
  <c r="AJ75" i="1"/>
  <c r="AK75" i="1"/>
  <c r="AD76" i="1" s="1"/>
  <c r="S274" i="1"/>
  <c r="O275" i="1" s="1"/>
  <c r="P274" i="1"/>
  <c r="AZ70" i="1" l="1"/>
  <c r="AP71" i="1"/>
  <c r="AQ71" i="1"/>
  <c r="AN71" i="1"/>
  <c r="AF76" i="1"/>
  <c r="AE76" i="1"/>
  <c r="AB74" i="1"/>
  <c r="U75" i="1" s="1"/>
  <c r="V75" i="1" s="1"/>
  <c r="S275" i="1"/>
  <c r="O276" i="1" s="1"/>
  <c r="P275" i="1"/>
  <c r="AR71" i="1" l="1"/>
  <c r="BA70" i="1"/>
  <c r="BB70" i="1"/>
  <c r="AU71" i="1" s="1"/>
  <c r="BC71" i="1" s="1"/>
  <c r="AH76" i="1"/>
  <c r="AG76" i="1"/>
  <c r="W75" i="1"/>
  <c r="S276" i="1"/>
  <c r="O277" i="1" s="1"/>
  <c r="P276" i="1"/>
  <c r="AV71" i="1" l="1"/>
  <c r="AI76" i="1"/>
  <c r="AW71" i="1"/>
  <c r="Y75" i="1"/>
  <c r="X75" i="1"/>
  <c r="S277" i="1"/>
  <c r="O278" i="1" s="1"/>
  <c r="P277" i="1"/>
  <c r="Z75" i="1" l="1"/>
  <c r="AA75" i="1" s="1"/>
  <c r="AY71" i="1"/>
  <c r="AX71" i="1"/>
  <c r="AZ71" i="1" s="1"/>
  <c r="AS71" i="1"/>
  <c r="AM72" i="1"/>
  <c r="AO72" i="1" s="1"/>
  <c r="AJ76" i="1"/>
  <c r="AK76" i="1"/>
  <c r="AD77" i="1" s="1"/>
  <c r="S278" i="1"/>
  <c r="O279" i="1" s="1"/>
  <c r="P278" i="1"/>
  <c r="AP72" i="1" l="1"/>
  <c r="AQ72" i="1"/>
  <c r="AN72" i="1"/>
  <c r="AF77" i="1"/>
  <c r="AE77" i="1"/>
  <c r="AB75" i="1"/>
  <c r="U76" i="1" s="1"/>
  <c r="V76" i="1" s="1"/>
  <c r="S279" i="1"/>
  <c r="O280" i="1" s="1"/>
  <c r="P279" i="1"/>
  <c r="AR72" i="1" l="1"/>
  <c r="BA71" i="1"/>
  <c r="BB71" i="1"/>
  <c r="AU72" i="1" s="1"/>
  <c r="BC72" i="1" s="1"/>
  <c r="AH77" i="1"/>
  <c r="AG77" i="1"/>
  <c r="W76" i="1"/>
  <c r="S280" i="1"/>
  <c r="O281" i="1" s="1"/>
  <c r="P280" i="1"/>
  <c r="AV72" i="1" l="1"/>
  <c r="AW72" i="1"/>
  <c r="AI77" i="1"/>
  <c r="Y76" i="1"/>
  <c r="X76" i="1"/>
  <c r="S281" i="1"/>
  <c r="O282" i="1" s="1"/>
  <c r="P281" i="1"/>
  <c r="AY72" i="1" l="1"/>
  <c r="AX72" i="1"/>
  <c r="AS72" i="1"/>
  <c r="AM73" i="1"/>
  <c r="AO73" i="1" s="1"/>
  <c r="Z76" i="1"/>
  <c r="AA76" i="1" s="1"/>
  <c r="AJ77" i="1"/>
  <c r="AK77" i="1"/>
  <c r="AD78" i="1" s="1"/>
  <c r="S282" i="1"/>
  <c r="O283" i="1" s="1"/>
  <c r="P282" i="1"/>
  <c r="AZ72" i="1" l="1"/>
  <c r="AP73" i="1"/>
  <c r="AQ73" i="1"/>
  <c r="AN73" i="1"/>
  <c r="AF78" i="1"/>
  <c r="AE78" i="1"/>
  <c r="AB76" i="1"/>
  <c r="U77" i="1" s="1"/>
  <c r="V77" i="1" s="1"/>
  <c r="S283" i="1"/>
  <c r="O284" i="1" s="1"/>
  <c r="P283" i="1"/>
  <c r="AR73" i="1" l="1"/>
  <c r="BA72" i="1"/>
  <c r="BB72" i="1"/>
  <c r="AU73" i="1" s="1"/>
  <c r="BC73" i="1" s="1"/>
  <c r="AH78" i="1"/>
  <c r="AG78" i="1"/>
  <c r="W77" i="1"/>
  <c r="S284" i="1"/>
  <c r="O285" i="1" s="1"/>
  <c r="P284" i="1"/>
  <c r="AV73" i="1" l="1"/>
  <c r="AW73" i="1"/>
  <c r="AI78" i="1"/>
  <c r="Y77" i="1"/>
  <c r="X77" i="1"/>
  <c r="S285" i="1"/>
  <c r="O286" i="1" s="1"/>
  <c r="P285" i="1"/>
  <c r="AY73" i="1" l="1"/>
  <c r="AX73" i="1"/>
  <c r="AS73" i="1"/>
  <c r="AM74" i="1"/>
  <c r="AO74" i="1" s="1"/>
  <c r="Z77" i="1"/>
  <c r="AA77" i="1" s="1"/>
  <c r="AJ78" i="1"/>
  <c r="AK78" i="1"/>
  <c r="AD79" i="1" s="1"/>
  <c r="S286" i="1"/>
  <c r="O287" i="1" s="1"/>
  <c r="P286" i="1"/>
  <c r="AZ73" i="1" l="1"/>
  <c r="AP74" i="1"/>
  <c r="AQ74" i="1"/>
  <c r="AN74" i="1"/>
  <c r="AF79" i="1"/>
  <c r="AE79" i="1"/>
  <c r="AB77" i="1"/>
  <c r="U78" i="1" s="1"/>
  <c r="V78" i="1" s="1"/>
  <c r="S287" i="1"/>
  <c r="O288" i="1" s="1"/>
  <c r="P287" i="1"/>
  <c r="AR74" i="1" l="1"/>
  <c r="BA73" i="1"/>
  <c r="BB73" i="1"/>
  <c r="AU74" i="1" s="1"/>
  <c r="BC74" i="1" s="1"/>
  <c r="AH79" i="1"/>
  <c r="AG79" i="1"/>
  <c r="W78" i="1"/>
  <c r="S288" i="1"/>
  <c r="O289" i="1" s="1"/>
  <c r="P288" i="1"/>
  <c r="AV74" i="1" l="1"/>
  <c r="AW74" i="1"/>
  <c r="AI79" i="1"/>
  <c r="Y78" i="1"/>
  <c r="X78" i="1"/>
  <c r="S289" i="1"/>
  <c r="O290" i="1" s="1"/>
  <c r="P289" i="1"/>
  <c r="AY74" i="1" l="1"/>
  <c r="AX74" i="1"/>
  <c r="Z78" i="1"/>
  <c r="AA78" i="1" s="1"/>
  <c r="AS74" i="1"/>
  <c r="AM75" i="1"/>
  <c r="AO75" i="1" s="1"/>
  <c r="AJ79" i="1"/>
  <c r="AK79" i="1"/>
  <c r="AD80" i="1" s="1"/>
  <c r="S290" i="1"/>
  <c r="O291" i="1" s="1"/>
  <c r="P290" i="1"/>
  <c r="AZ74" i="1" l="1"/>
  <c r="AP75" i="1"/>
  <c r="AQ75" i="1"/>
  <c r="AN75" i="1"/>
  <c r="AF80" i="1"/>
  <c r="AE80" i="1"/>
  <c r="AB78" i="1"/>
  <c r="U79" i="1" s="1"/>
  <c r="V79" i="1" s="1"/>
  <c r="S291" i="1"/>
  <c r="O292" i="1" s="1"/>
  <c r="P291" i="1"/>
  <c r="AR75" i="1" l="1"/>
  <c r="BA74" i="1"/>
  <c r="BB74" i="1"/>
  <c r="AU75" i="1" s="1"/>
  <c r="BC75" i="1" s="1"/>
  <c r="AH80" i="1"/>
  <c r="AG80" i="1"/>
  <c r="W79" i="1"/>
  <c r="S292" i="1"/>
  <c r="O293" i="1" s="1"/>
  <c r="P292" i="1"/>
  <c r="AV75" i="1" l="1"/>
  <c r="AW75" i="1"/>
  <c r="AI80" i="1"/>
  <c r="Y79" i="1"/>
  <c r="X79" i="1"/>
  <c r="S293" i="1"/>
  <c r="O294" i="1" s="1"/>
  <c r="P293" i="1"/>
  <c r="AY75" i="1" l="1"/>
  <c r="AX75" i="1"/>
  <c r="AZ75" i="1" s="1"/>
  <c r="AS75" i="1"/>
  <c r="AM76" i="1"/>
  <c r="AO76" i="1" s="1"/>
  <c r="Z79" i="1"/>
  <c r="AA79" i="1" s="1"/>
  <c r="AJ80" i="1"/>
  <c r="AK80" i="1"/>
  <c r="AD81" i="1" s="1"/>
  <c r="S294" i="1"/>
  <c r="O295" i="1" s="1"/>
  <c r="P294" i="1"/>
  <c r="AP76" i="1" l="1"/>
  <c r="AQ76" i="1"/>
  <c r="AN76" i="1"/>
  <c r="AF81" i="1"/>
  <c r="AE81" i="1"/>
  <c r="AB79" i="1"/>
  <c r="U80" i="1" s="1"/>
  <c r="V80" i="1" s="1"/>
  <c r="S295" i="1"/>
  <c r="O296" i="1" s="1"/>
  <c r="P295" i="1"/>
  <c r="AR76" i="1" l="1"/>
  <c r="BA75" i="1"/>
  <c r="BB75" i="1"/>
  <c r="AU76" i="1" s="1"/>
  <c r="BC76" i="1" s="1"/>
  <c r="AH81" i="1"/>
  <c r="AG81" i="1"/>
  <c r="W80" i="1"/>
  <c r="S296" i="1"/>
  <c r="O297" i="1" s="1"/>
  <c r="P296" i="1"/>
  <c r="AV76" i="1" l="1"/>
  <c r="AW76" i="1"/>
  <c r="AI81" i="1"/>
  <c r="Y80" i="1"/>
  <c r="X80" i="1"/>
  <c r="S297" i="1"/>
  <c r="O298" i="1" s="1"/>
  <c r="P297" i="1"/>
  <c r="Z80" i="1" l="1"/>
  <c r="AA80" i="1" s="1"/>
  <c r="AY76" i="1"/>
  <c r="AX76" i="1"/>
  <c r="AZ76" i="1" s="1"/>
  <c r="AS76" i="1"/>
  <c r="AM77" i="1"/>
  <c r="AO77" i="1" s="1"/>
  <c r="AJ81" i="1"/>
  <c r="AK81" i="1"/>
  <c r="AD82" i="1" s="1"/>
  <c r="S298" i="1"/>
  <c r="O299" i="1" s="1"/>
  <c r="P298" i="1"/>
  <c r="AP77" i="1" l="1"/>
  <c r="AQ77" i="1"/>
  <c r="AN77" i="1"/>
  <c r="AF82" i="1"/>
  <c r="AE82" i="1"/>
  <c r="AB80" i="1"/>
  <c r="U81" i="1" s="1"/>
  <c r="V81" i="1" s="1"/>
  <c r="S299" i="1"/>
  <c r="O300" i="1" s="1"/>
  <c r="P299" i="1"/>
  <c r="AR77" i="1" l="1"/>
  <c r="BA76" i="1"/>
  <c r="BB76" i="1"/>
  <c r="AU77" i="1" s="1"/>
  <c r="BC77" i="1" s="1"/>
  <c r="AH82" i="1"/>
  <c r="AG82" i="1"/>
  <c r="W81" i="1"/>
  <c r="S300" i="1"/>
  <c r="O301" i="1" s="1"/>
  <c r="P300" i="1"/>
  <c r="AV77" i="1" l="1"/>
  <c r="AW77" i="1"/>
  <c r="AI82" i="1"/>
  <c r="Y81" i="1"/>
  <c r="X81" i="1"/>
  <c r="S301" i="1"/>
  <c r="O302" i="1" s="1"/>
  <c r="P301" i="1"/>
  <c r="AY77" i="1" l="1"/>
  <c r="AX77" i="1"/>
  <c r="AS77" i="1"/>
  <c r="AM78" i="1"/>
  <c r="AO78" i="1" s="1"/>
  <c r="Z81" i="1"/>
  <c r="AA81" i="1" s="1"/>
  <c r="AJ82" i="1"/>
  <c r="AK82" i="1"/>
  <c r="AD83" i="1" s="1"/>
  <c r="S302" i="1"/>
  <c r="P302" i="1"/>
  <c r="L2" i="1"/>
  <c r="M2" i="1" s="1"/>
  <c r="I3" i="1" s="1"/>
  <c r="AZ77" i="1" l="1"/>
  <c r="AP78" i="1"/>
  <c r="AQ78" i="1"/>
  <c r="AN78" i="1"/>
  <c r="AF83" i="1"/>
  <c r="AE83" i="1"/>
  <c r="AB81" i="1"/>
  <c r="U82" i="1" s="1"/>
  <c r="V82" i="1" s="1"/>
  <c r="M3" i="1"/>
  <c r="I4" i="1" s="1"/>
  <c r="J3" i="1"/>
  <c r="AR78" i="1" l="1"/>
  <c r="BA77" i="1"/>
  <c r="BB77" i="1"/>
  <c r="AU78" i="1" s="1"/>
  <c r="BC78" i="1" s="1"/>
  <c r="AH83" i="1"/>
  <c r="AG83" i="1"/>
  <c r="W82" i="1"/>
  <c r="M4" i="1"/>
  <c r="I5" i="1" s="1"/>
  <c r="J4" i="1"/>
  <c r="AV78" i="1" l="1"/>
  <c r="AW78" i="1"/>
  <c r="AI83" i="1"/>
  <c r="Y82" i="1"/>
  <c r="X82" i="1"/>
  <c r="M5" i="1"/>
  <c r="I6" i="1" s="1"/>
  <c r="J5" i="1"/>
  <c r="AY78" i="1" l="1"/>
  <c r="AX78" i="1"/>
  <c r="AS78" i="1"/>
  <c r="AM79" i="1"/>
  <c r="AO79" i="1" s="1"/>
  <c r="Z82" i="1"/>
  <c r="AA82" i="1" s="1"/>
  <c r="AJ83" i="1"/>
  <c r="AK83" i="1"/>
  <c r="AD84" i="1" s="1"/>
  <c r="J6" i="1"/>
  <c r="M6" i="1"/>
  <c r="I7" i="1" s="1"/>
  <c r="AZ78" i="1" l="1"/>
  <c r="AP79" i="1"/>
  <c r="AQ79" i="1"/>
  <c r="AN79" i="1"/>
  <c r="AF84" i="1"/>
  <c r="AE84" i="1"/>
  <c r="AB82" i="1"/>
  <c r="U83" i="1" s="1"/>
  <c r="V83" i="1" s="1"/>
  <c r="J7" i="1"/>
  <c r="M7" i="1"/>
  <c r="I8" i="1" s="1"/>
  <c r="AR79" i="1" l="1"/>
  <c r="BA78" i="1"/>
  <c r="BB78" i="1"/>
  <c r="AU79" i="1" s="1"/>
  <c r="BC79" i="1" s="1"/>
  <c r="AH84" i="1"/>
  <c r="AG84" i="1"/>
  <c r="W83" i="1"/>
  <c r="J8" i="1"/>
  <c r="M8" i="1"/>
  <c r="I9" i="1" s="1"/>
  <c r="AV79" i="1" l="1"/>
  <c r="AW79" i="1"/>
  <c r="AI84" i="1"/>
  <c r="Y83" i="1"/>
  <c r="X83" i="1"/>
  <c r="J9" i="1"/>
  <c r="M9" i="1"/>
  <c r="I10" i="1" s="1"/>
  <c r="AY79" i="1" l="1"/>
  <c r="AX79" i="1"/>
  <c r="AS79" i="1"/>
  <c r="AM80" i="1"/>
  <c r="AO80" i="1" s="1"/>
  <c r="Z83" i="1"/>
  <c r="AA83" i="1" s="1"/>
  <c r="AJ84" i="1"/>
  <c r="AK84" i="1"/>
  <c r="AD85" i="1" s="1"/>
  <c r="M10" i="1"/>
  <c r="I11" i="1" s="1"/>
  <c r="J10" i="1"/>
  <c r="AZ79" i="1" l="1"/>
  <c r="AP80" i="1"/>
  <c r="AQ80" i="1"/>
  <c r="AN80" i="1"/>
  <c r="AB83" i="1"/>
  <c r="U84" i="1" s="1"/>
  <c r="V84" i="1" s="1"/>
  <c r="AF85" i="1"/>
  <c r="AE85" i="1"/>
  <c r="M11" i="1"/>
  <c r="I12" i="1" s="1"/>
  <c r="J11" i="1"/>
  <c r="AR80" i="1" l="1"/>
  <c r="BA79" i="1"/>
  <c r="BB79" i="1"/>
  <c r="AU80" i="1" s="1"/>
  <c r="BC80" i="1" s="1"/>
  <c r="W84" i="1"/>
  <c r="Y84" i="1" s="1"/>
  <c r="AH85" i="1"/>
  <c r="AG85" i="1"/>
  <c r="J12" i="1"/>
  <c r="M12" i="1"/>
  <c r="I13" i="1" s="1"/>
  <c r="AV80" i="1" l="1"/>
  <c r="AI85" i="1"/>
  <c r="AW80" i="1"/>
  <c r="X84" i="1"/>
  <c r="Z84" i="1" s="1"/>
  <c r="J13" i="1"/>
  <c r="M13" i="1"/>
  <c r="I14" i="1" s="1"/>
  <c r="AY80" i="1" l="1"/>
  <c r="AX80" i="1"/>
  <c r="AZ80" i="1" s="1"/>
  <c r="AS80" i="1"/>
  <c r="AM81" i="1"/>
  <c r="AO81" i="1" s="1"/>
  <c r="AA84" i="1"/>
  <c r="AB84" i="1"/>
  <c r="U85" i="1" s="1"/>
  <c r="V85" i="1" s="1"/>
  <c r="AJ85" i="1"/>
  <c r="AK85" i="1"/>
  <c r="AD86" i="1" s="1"/>
  <c r="M14" i="1"/>
  <c r="I15" i="1" s="1"/>
  <c r="J14" i="1"/>
  <c r="BA80" i="1" l="1"/>
  <c r="AP81" i="1"/>
  <c r="AQ81" i="1"/>
  <c r="BB80" i="1"/>
  <c r="AU81" i="1" s="1"/>
  <c r="BC81" i="1" s="1"/>
  <c r="AN81" i="1"/>
  <c r="W85" i="1"/>
  <c r="Y85" i="1" s="1"/>
  <c r="AF86" i="1"/>
  <c r="AE86" i="1"/>
  <c r="M15" i="1"/>
  <c r="I16" i="1" s="1"/>
  <c r="J15" i="1"/>
  <c r="AR81" i="1" l="1"/>
  <c r="AV81" i="1"/>
  <c r="X85" i="1"/>
  <c r="Z85" i="1" s="1"/>
  <c r="AA85" i="1" s="1"/>
  <c r="AH86" i="1"/>
  <c r="AG86" i="1"/>
  <c r="J16" i="1"/>
  <c r="M16" i="1"/>
  <c r="I17" i="1" s="1"/>
  <c r="AW81" i="1" l="1"/>
  <c r="AI86" i="1"/>
  <c r="AB85" i="1"/>
  <c r="U86" i="1" s="1"/>
  <c r="V86" i="1" s="1"/>
  <c r="J17" i="1"/>
  <c r="M17" i="1"/>
  <c r="I18" i="1" s="1"/>
  <c r="AY81" i="1" l="1"/>
  <c r="AX81" i="1"/>
  <c r="AS81" i="1"/>
  <c r="AM82" i="1"/>
  <c r="AO82" i="1" s="1"/>
  <c r="AJ86" i="1"/>
  <c r="AK86" i="1"/>
  <c r="AD87" i="1" s="1"/>
  <c r="W86" i="1"/>
  <c r="M18" i="1"/>
  <c r="I19" i="1" s="1"/>
  <c r="J18" i="1"/>
  <c r="AZ81" i="1" l="1"/>
  <c r="BB81" i="1" s="1"/>
  <c r="AU82" i="1" s="1"/>
  <c r="BC82" i="1" s="1"/>
  <c r="AP82" i="1"/>
  <c r="AQ82" i="1"/>
  <c r="AN82" i="1"/>
  <c r="AF87" i="1"/>
  <c r="AE87" i="1"/>
  <c r="Y86" i="1"/>
  <c r="X86" i="1"/>
  <c r="M19" i="1"/>
  <c r="I20" i="1" s="1"/>
  <c r="J19" i="1"/>
  <c r="AR82" i="1" l="1"/>
  <c r="BA81" i="1"/>
  <c r="AV82" i="1"/>
  <c r="Z86" i="1"/>
  <c r="AA86" i="1" s="1"/>
  <c r="AH87" i="1"/>
  <c r="AG87" i="1"/>
  <c r="J20" i="1"/>
  <c r="M20" i="1"/>
  <c r="I21" i="1" s="1"/>
  <c r="AW82" i="1" l="1"/>
  <c r="AI87" i="1"/>
  <c r="AK87" i="1" s="1"/>
  <c r="AD88" i="1" s="1"/>
  <c r="AB86" i="1"/>
  <c r="U87" i="1" s="1"/>
  <c r="V87" i="1" s="1"/>
  <c r="J21" i="1"/>
  <c r="M21" i="1"/>
  <c r="I22" i="1" s="1"/>
  <c r="AY82" i="1" l="1"/>
  <c r="AX82" i="1"/>
  <c r="AS82" i="1"/>
  <c r="AM83" i="1"/>
  <c r="AO83" i="1" s="1"/>
  <c r="AJ87" i="1"/>
  <c r="AF88" i="1"/>
  <c r="AE88" i="1"/>
  <c r="W87" i="1"/>
  <c r="M22" i="1"/>
  <c r="I23" i="1" s="1"/>
  <c r="J22" i="1"/>
  <c r="AZ82" i="1" l="1"/>
  <c r="BA82" i="1" s="1"/>
  <c r="AP83" i="1"/>
  <c r="AQ83" i="1"/>
  <c r="AN83" i="1"/>
  <c r="AH88" i="1"/>
  <c r="AG88" i="1"/>
  <c r="Y87" i="1"/>
  <c r="X87" i="1"/>
  <c r="M23" i="1"/>
  <c r="I24" i="1" s="1"/>
  <c r="J23" i="1"/>
  <c r="AR83" i="1" l="1"/>
  <c r="BB82" i="1"/>
  <c r="AU83" i="1" s="1"/>
  <c r="Z87" i="1"/>
  <c r="AA87" i="1" s="1"/>
  <c r="AI88" i="1"/>
  <c r="J24" i="1"/>
  <c r="M24" i="1"/>
  <c r="I25" i="1" s="1"/>
  <c r="AV83" i="1" l="1"/>
  <c r="BC83" i="1"/>
  <c r="AW83" i="1"/>
  <c r="AJ88" i="1"/>
  <c r="AK88" i="1"/>
  <c r="AD89" i="1" s="1"/>
  <c r="AB87" i="1"/>
  <c r="U88" i="1" s="1"/>
  <c r="V88" i="1" s="1"/>
  <c r="J25" i="1"/>
  <c r="M25" i="1"/>
  <c r="I26" i="1" s="1"/>
  <c r="AY83" i="1" l="1"/>
  <c r="AX83" i="1"/>
  <c r="AS83" i="1"/>
  <c r="AM84" i="1"/>
  <c r="AO84" i="1" s="1"/>
  <c r="AF89" i="1"/>
  <c r="AE89" i="1"/>
  <c r="W88" i="1"/>
  <c r="M26" i="1"/>
  <c r="I27" i="1" s="1"/>
  <c r="J26" i="1"/>
  <c r="AZ83" i="1" l="1"/>
  <c r="AP84" i="1"/>
  <c r="AQ84" i="1"/>
  <c r="AN84" i="1"/>
  <c r="AH89" i="1"/>
  <c r="AG89" i="1"/>
  <c r="Y88" i="1"/>
  <c r="X88" i="1"/>
  <c r="M27" i="1"/>
  <c r="I28" i="1" s="1"/>
  <c r="J27" i="1"/>
  <c r="AR84" i="1" l="1"/>
  <c r="BA83" i="1"/>
  <c r="BB83" i="1"/>
  <c r="AU84" i="1" s="1"/>
  <c r="BC84" i="1" s="1"/>
  <c r="Z88" i="1"/>
  <c r="AA88" i="1" s="1"/>
  <c r="AI89" i="1"/>
  <c r="AJ89" i="1" s="1"/>
  <c r="J28" i="1"/>
  <c r="M28" i="1"/>
  <c r="I29" i="1" s="1"/>
  <c r="AV84" i="1" l="1"/>
  <c r="AW84" i="1"/>
  <c r="AK89" i="1"/>
  <c r="AD90" i="1" s="1"/>
  <c r="AF90" i="1" s="1"/>
  <c r="AB88" i="1"/>
  <c r="U89" i="1" s="1"/>
  <c r="V89" i="1" s="1"/>
  <c r="J29" i="1"/>
  <c r="M29" i="1"/>
  <c r="I30" i="1" s="1"/>
  <c r="AY84" i="1" l="1"/>
  <c r="AX84" i="1"/>
  <c r="AS84" i="1"/>
  <c r="AM85" i="1"/>
  <c r="AO85" i="1" s="1"/>
  <c r="AE90" i="1"/>
  <c r="AH90" i="1"/>
  <c r="AG90" i="1"/>
  <c r="W89" i="1"/>
  <c r="M30" i="1"/>
  <c r="I31" i="1" s="1"/>
  <c r="J30" i="1"/>
  <c r="AZ84" i="1" l="1"/>
  <c r="AP85" i="1"/>
  <c r="AQ85" i="1"/>
  <c r="AN85" i="1"/>
  <c r="AI90" i="1"/>
  <c r="AK90" i="1" s="1"/>
  <c r="AD91" i="1" s="1"/>
  <c r="Y89" i="1"/>
  <c r="X89" i="1"/>
  <c r="M31" i="1"/>
  <c r="I32" i="1" s="1"/>
  <c r="J31" i="1"/>
  <c r="AR85" i="1" l="1"/>
  <c r="BA84" i="1"/>
  <c r="BB84" i="1"/>
  <c r="AU85" i="1" s="1"/>
  <c r="BC85" i="1" s="1"/>
  <c r="Z89" i="1"/>
  <c r="AB89" i="1" s="1"/>
  <c r="U90" i="1" s="1"/>
  <c r="V90" i="1" s="1"/>
  <c r="AJ90" i="1"/>
  <c r="AF91" i="1"/>
  <c r="AE91" i="1"/>
  <c r="J32" i="1"/>
  <c r="M32" i="1"/>
  <c r="I33" i="1" s="1"/>
  <c r="AA89" i="1" l="1"/>
  <c r="AV85" i="1"/>
  <c r="AW85" i="1"/>
  <c r="AH91" i="1"/>
  <c r="AG91" i="1"/>
  <c r="W90" i="1"/>
  <c r="J33" i="1"/>
  <c r="M33" i="1"/>
  <c r="I34" i="1" s="1"/>
  <c r="AY85" i="1" l="1"/>
  <c r="AX85" i="1"/>
  <c r="AS85" i="1"/>
  <c r="AM86" i="1"/>
  <c r="AO86" i="1" s="1"/>
  <c r="AI91" i="1"/>
  <c r="AJ91" i="1" s="1"/>
  <c r="Y90" i="1"/>
  <c r="X90" i="1"/>
  <c r="M34" i="1"/>
  <c r="I35" i="1" s="1"/>
  <c r="J34" i="1"/>
  <c r="AZ85" i="1" l="1"/>
  <c r="AP86" i="1"/>
  <c r="AQ86" i="1"/>
  <c r="AN86" i="1"/>
  <c r="AK91" i="1"/>
  <c r="AD92" i="1" s="1"/>
  <c r="AF92" i="1" s="1"/>
  <c r="Z90" i="1"/>
  <c r="AA90" i="1" s="1"/>
  <c r="M35" i="1"/>
  <c r="I36" i="1" s="1"/>
  <c r="J35" i="1"/>
  <c r="AR86" i="1" l="1"/>
  <c r="BA85" i="1"/>
  <c r="BB85" i="1"/>
  <c r="AU86" i="1" s="1"/>
  <c r="BC86" i="1" s="1"/>
  <c r="AE92" i="1"/>
  <c r="AH92" i="1"/>
  <c r="AG92" i="1"/>
  <c r="AB90" i="1"/>
  <c r="U91" i="1" s="1"/>
  <c r="V91" i="1" s="1"/>
  <c r="M36" i="1"/>
  <c r="I37" i="1" s="1"/>
  <c r="J36" i="1"/>
  <c r="AV86" i="1" l="1"/>
  <c r="AW86" i="1"/>
  <c r="AI92" i="1"/>
  <c r="W91" i="1"/>
  <c r="M37" i="1"/>
  <c r="I38" i="1" s="1"/>
  <c r="J37" i="1"/>
  <c r="AY86" i="1" l="1"/>
  <c r="AX86" i="1"/>
  <c r="AZ86" i="1" s="1"/>
  <c r="AS86" i="1"/>
  <c r="AM87" i="1"/>
  <c r="AO87" i="1" s="1"/>
  <c r="Y91" i="1"/>
  <c r="AJ92" i="1"/>
  <c r="AK92" i="1"/>
  <c r="AD93" i="1" s="1"/>
  <c r="X91" i="1"/>
  <c r="Z91" i="1" s="1"/>
  <c r="J38" i="1"/>
  <c r="M38" i="1"/>
  <c r="I39" i="1" s="1"/>
  <c r="AP87" i="1" l="1"/>
  <c r="AQ87" i="1"/>
  <c r="AN87" i="1"/>
  <c r="AA91" i="1"/>
  <c r="AF93" i="1"/>
  <c r="AE93" i="1"/>
  <c r="AB91" i="1"/>
  <c r="U92" i="1" s="1"/>
  <c r="V92" i="1" s="1"/>
  <c r="J39" i="1"/>
  <c r="M39" i="1"/>
  <c r="I40" i="1" s="1"/>
  <c r="AR87" i="1" l="1"/>
  <c r="BA86" i="1"/>
  <c r="BB86" i="1"/>
  <c r="AU87" i="1" s="1"/>
  <c r="BC87" i="1" s="1"/>
  <c r="AH93" i="1"/>
  <c r="AG93" i="1"/>
  <c r="W92" i="1"/>
  <c r="M40" i="1"/>
  <c r="I41" i="1" s="1"/>
  <c r="J40" i="1"/>
  <c r="AV87" i="1" l="1"/>
  <c r="AW87" i="1"/>
  <c r="AI93" i="1"/>
  <c r="AJ93" i="1" s="1"/>
  <c r="Y92" i="1"/>
  <c r="X92" i="1"/>
  <c r="M41" i="1"/>
  <c r="I42" i="1" s="1"/>
  <c r="J41" i="1"/>
  <c r="AY87" i="1" l="1"/>
  <c r="AX87" i="1"/>
  <c r="AS87" i="1"/>
  <c r="AM88" i="1"/>
  <c r="AO88" i="1" s="1"/>
  <c r="AK93" i="1"/>
  <c r="AD94" i="1" s="1"/>
  <c r="AF94" i="1" s="1"/>
  <c r="Z92" i="1"/>
  <c r="AA92" i="1" s="1"/>
  <c r="M42" i="1"/>
  <c r="I43" i="1" s="1"/>
  <c r="J42" i="1"/>
  <c r="AZ87" i="1" l="1"/>
  <c r="AP88" i="1"/>
  <c r="AQ88" i="1"/>
  <c r="AE94" i="1"/>
  <c r="AN88" i="1"/>
  <c r="AH94" i="1"/>
  <c r="AG94" i="1"/>
  <c r="AB92" i="1"/>
  <c r="U93" i="1" s="1"/>
  <c r="V93" i="1" s="1"/>
  <c r="J43" i="1"/>
  <c r="M43" i="1"/>
  <c r="I44" i="1" s="1"/>
  <c r="AR88" i="1" l="1"/>
  <c r="BA87" i="1"/>
  <c r="BB87" i="1"/>
  <c r="AU88" i="1" s="1"/>
  <c r="BC88" i="1" s="1"/>
  <c r="AI94" i="1"/>
  <c r="AJ94" i="1" s="1"/>
  <c r="W93" i="1"/>
  <c r="J44" i="1"/>
  <c r="M44" i="1"/>
  <c r="I45" i="1" s="1"/>
  <c r="AV88" i="1" l="1"/>
  <c r="AK94" i="1"/>
  <c r="AD95" i="1" s="1"/>
  <c r="AF95" i="1" s="1"/>
  <c r="AW88" i="1"/>
  <c r="AE95" i="1"/>
  <c r="Y93" i="1"/>
  <c r="X93" i="1"/>
  <c r="J45" i="1"/>
  <c r="M45" i="1"/>
  <c r="I46" i="1" s="1"/>
  <c r="AY88" i="1" l="1"/>
  <c r="AX88" i="1"/>
  <c r="Z93" i="1"/>
  <c r="AA93" i="1" s="1"/>
  <c r="AS88" i="1"/>
  <c r="AM89" i="1"/>
  <c r="AO89" i="1" s="1"/>
  <c r="AH95" i="1"/>
  <c r="AG95" i="1"/>
  <c r="J46" i="1"/>
  <c r="M46" i="1"/>
  <c r="I47" i="1" s="1"/>
  <c r="AZ88" i="1" l="1"/>
  <c r="AP89" i="1"/>
  <c r="AQ89" i="1"/>
  <c r="AI95" i="1"/>
  <c r="AN89" i="1"/>
  <c r="AB93" i="1"/>
  <c r="U94" i="1" s="1"/>
  <c r="V94" i="1" s="1"/>
  <c r="J47" i="1"/>
  <c r="M47" i="1"/>
  <c r="I48" i="1" s="1"/>
  <c r="AR89" i="1" l="1"/>
  <c r="BA88" i="1"/>
  <c r="BB88" i="1"/>
  <c r="AU89" i="1" s="1"/>
  <c r="BC89" i="1" s="1"/>
  <c r="AJ95" i="1"/>
  <c r="AK95" i="1"/>
  <c r="AD96" i="1" s="1"/>
  <c r="W94" i="1"/>
  <c r="M48" i="1"/>
  <c r="I49" i="1" s="1"/>
  <c r="J48" i="1"/>
  <c r="AV89" i="1" l="1"/>
  <c r="AW89" i="1"/>
  <c r="AF96" i="1"/>
  <c r="AE96" i="1"/>
  <c r="Y94" i="1"/>
  <c r="X94" i="1"/>
  <c r="J49" i="1"/>
  <c r="M49" i="1"/>
  <c r="I50" i="1" s="1"/>
  <c r="AY89" i="1" l="1"/>
  <c r="AX89" i="1"/>
  <c r="Z94" i="1"/>
  <c r="AA94" i="1" s="1"/>
  <c r="AS89" i="1"/>
  <c r="AM90" i="1"/>
  <c r="AO90" i="1" s="1"/>
  <c r="AH96" i="1"/>
  <c r="AG96" i="1"/>
  <c r="M50" i="1"/>
  <c r="I51" i="1" s="1"/>
  <c r="J50" i="1"/>
  <c r="AZ89" i="1" l="1"/>
  <c r="BA89" i="1" s="1"/>
  <c r="AP90" i="1"/>
  <c r="AQ90" i="1"/>
  <c r="AI96" i="1"/>
  <c r="AN90" i="1"/>
  <c r="AB94" i="1"/>
  <c r="U95" i="1" s="1"/>
  <c r="V95" i="1" s="1"/>
  <c r="M51" i="1"/>
  <c r="I52" i="1" s="1"/>
  <c r="J51" i="1"/>
  <c r="AR90" i="1" l="1"/>
  <c r="BB89" i="1"/>
  <c r="AU90" i="1" s="1"/>
  <c r="AJ96" i="1"/>
  <c r="AK96" i="1"/>
  <c r="AD97" i="1" s="1"/>
  <c r="W95" i="1"/>
  <c r="M52" i="1"/>
  <c r="I53" i="1" s="1"/>
  <c r="J52" i="1"/>
  <c r="AV90" i="1" l="1"/>
  <c r="BC90" i="1"/>
  <c r="AW90" i="1"/>
  <c r="AF97" i="1"/>
  <c r="AE97" i="1"/>
  <c r="Y95" i="1"/>
  <c r="X95" i="1"/>
  <c r="J53" i="1"/>
  <c r="M53" i="1"/>
  <c r="I54" i="1" s="1"/>
  <c r="AY90" i="1" l="1"/>
  <c r="AX90" i="1"/>
  <c r="Z95" i="1"/>
  <c r="AA95" i="1" s="1"/>
  <c r="AS90" i="1"/>
  <c r="AM91" i="1"/>
  <c r="AO91" i="1" s="1"/>
  <c r="AH97" i="1"/>
  <c r="AG97" i="1"/>
  <c r="J54" i="1"/>
  <c r="M54" i="1"/>
  <c r="I55" i="1" s="1"/>
  <c r="AZ90" i="1" l="1"/>
  <c r="AP91" i="1"/>
  <c r="AQ91" i="1"/>
  <c r="AI97" i="1"/>
  <c r="AJ97" i="1" s="1"/>
  <c r="AN91" i="1"/>
  <c r="AB95" i="1"/>
  <c r="U96" i="1" s="1"/>
  <c r="V96" i="1" s="1"/>
  <c r="J55" i="1"/>
  <c r="M55" i="1"/>
  <c r="I56" i="1" s="1"/>
  <c r="AK97" i="1" l="1"/>
  <c r="AD98" i="1" s="1"/>
  <c r="AR91" i="1"/>
  <c r="BA90" i="1"/>
  <c r="BB90" i="1"/>
  <c r="AU91" i="1" s="1"/>
  <c r="BC91" i="1" s="1"/>
  <c r="AF98" i="1"/>
  <c r="AE98" i="1"/>
  <c r="W96" i="1"/>
  <c r="M56" i="1"/>
  <c r="I57" i="1" s="1"/>
  <c r="J56" i="1"/>
  <c r="AV91" i="1" l="1"/>
  <c r="AW91" i="1"/>
  <c r="AH98" i="1"/>
  <c r="AG98" i="1"/>
  <c r="Y96" i="1"/>
  <c r="X96" i="1"/>
  <c r="J57" i="1"/>
  <c r="M57" i="1"/>
  <c r="I58" i="1" s="1"/>
  <c r="AY91" i="1" l="1"/>
  <c r="AX91" i="1"/>
  <c r="Z96" i="1"/>
  <c r="AA96" i="1" s="1"/>
  <c r="AI98" i="1"/>
  <c r="AS91" i="1"/>
  <c r="AM92" i="1"/>
  <c r="AO92" i="1" s="1"/>
  <c r="M58" i="1"/>
  <c r="I59" i="1" s="1"/>
  <c r="J58" i="1"/>
  <c r="AZ91" i="1" l="1"/>
  <c r="BA91" i="1" s="1"/>
  <c r="AP92" i="1"/>
  <c r="AQ92" i="1"/>
  <c r="AN92" i="1"/>
  <c r="AJ98" i="1"/>
  <c r="AK98" i="1"/>
  <c r="AD99" i="1" s="1"/>
  <c r="AB96" i="1"/>
  <c r="U97" i="1" s="1"/>
  <c r="V97" i="1" s="1"/>
  <c r="M59" i="1"/>
  <c r="I60" i="1" s="1"/>
  <c r="J59" i="1"/>
  <c r="AR92" i="1" l="1"/>
  <c r="BB91" i="1"/>
  <c r="AU92" i="1" s="1"/>
  <c r="BC92" i="1" s="1"/>
  <c r="AF99" i="1"/>
  <c r="AE99" i="1"/>
  <c r="W97" i="1"/>
  <c r="J60" i="1"/>
  <c r="M60" i="1"/>
  <c r="I61" i="1" s="1"/>
  <c r="AV92" i="1" l="1"/>
  <c r="AW92" i="1"/>
  <c r="AH99" i="1"/>
  <c r="AG99" i="1"/>
  <c r="Y97" i="1"/>
  <c r="X97" i="1"/>
  <c r="J61" i="1"/>
  <c r="M61" i="1"/>
  <c r="I62" i="1" s="1"/>
  <c r="AY92" i="1" l="1"/>
  <c r="AX92" i="1"/>
  <c r="Z97" i="1"/>
  <c r="AA97" i="1" s="1"/>
  <c r="AI99" i="1"/>
  <c r="AS92" i="1"/>
  <c r="AM93" i="1"/>
  <c r="AO93" i="1" s="1"/>
  <c r="J62" i="1"/>
  <c r="M62" i="1"/>
  <c r="I63" i="1" s="1"/>
  <c r="AZ92" i="1" l="1"/>
  <c r="BA92" i="1" s="1"/>
  <c r="AP93" i="1"/>
  <c r="AQ93" i="1"/>
  <c r="AN93" i="1"/>
  <c r="AJ99" i="1"/>
  <c r="AK99" i="1"/>
  <c r="AD100" i="1" s="1"/>
  <c r="AB97" i="1"/>
  <c r="U98" i="1" s="1"/>
  <c r="V98" i="1" s="1"/>
  <c r="M63" i="1"/>
  <c r="I64" i="1" s="1"/>
  <c r="J63" i="1"/>
  <c r="BB92" i="1" l="1"/>
  <c r="AU93" i="1" s="1"/>
  <c r="BC93" i="1" s="1"/>
  <c r="AR93" i="1"/>
  <c r="AF100" i="1"/>
  <c r="AE100" i="1"/>
  <c r="W98" i="1"/>
  <c r="J64" i="1"/>
  <c r="M64" i="1"/>
  <c r="I65" i="1" s="1"/>
  <c r="AV93" i="1" l="1"/>
  <c r="AW93" i="1"/>
  <c r="AH100" i="1"/>
  <c r="AG100" i="1"/>
  <c r="Y98" i="1"/>
  <c r="X98" i="1"/>
  <c r="J65" i="1"/>
  <c r="M65" i="1"/>
  <c r="I66" i="1" s="1"/>
  <c r="Z98" i="1" l="1"/>
  <c r="AA98" i="1" s="1"/>
  <c r="AY93" i="1"/>
  <c r="AX93" i="1"/>
  <c r="AZ93" i="1" s="1"/>
  <c r="AI100" i="1"/>
  <c r="AS93" i="1"/>
  <c r="AM94" i="1"/>
  <c r="AO94" i="1" s="1"/>
  <c r="AJ100" i="1"/>
  <c r="J66" i="1"/>
  <c r="M66" i="1"/>
  <c r="I67" i="1" s="1"/>
  <c r="AP94" i="1" l="1"/>
  <c r="AQ94" i="1"/>
  <c r="BB93" i="1"/>
  <c r="AU94" i="1" s="1"/>
  <c r="BC94" i="1" s="1"/>
  <c r="AN94" i="1"/>
  <c r="AK100" i="1"/>
  <c r="AD101" i="1" s="1"/>
  <c r="AF101" i="1" s="1"/>
  <c r="AB98" i="1"/>
  <c r="U99" i="1" s="1"/>
  <c r="V99" i="1" s="1"/>
  <c r="J67" i="1"/>
  <c r="M67" i="1"/>
  <c r="I68" i="1" s="1"/>
  <c r="AR94" i="1" l="1"/>
  <c r="BA93" i="1"/>
  <c r="AV94" i="1"/>
  <c r="AE101" i="1"/>
  <c r="AH101" i="1"/>
  <c r="AG101" i="1"/>
  <c r="W99" i="1"/>
  <c r="J68" i="1"/>
  <c r="M68" i="1"/>
  <c r="I69" i="1" s="1"/>
  <c r="AW94" i="1" l="1"/>
  <c r="AI101" i="1"/>
  <c r="Y99" i="1"/>
  <c r="X99" i="1"/>
  <c r="J69" i="1"/>
  <c r="M69" i="1"/>
  <c r="I70" i="1" s="1"/>
  <c r="Z99" i="1" l="1"/>
  <c r="AA99" i="1" s="1"/>
  <c r="AY94" i="1"/>
  <c r="AX94" i="1"/>
  <c r="AS94" i="1"/>
  <c r="AM95" i="1"/>
  <c r="AO95" i="1" s="1"/>
  <c r="AJ101" i="1"/>
  <c r="AK101" i="1"/>
  <c r="AD102" i="1" s="1"/>
  <c r="J70" i="1"/>
  <c r="M70" i="1"/>
  <c r="I71" i="1" s="1"/>
  <c r="AZ94" i="1" l="1"/>
  <c r="AP95" i="1"/>
  <c r="AQ95" i="1"/>
  <c r="AN95" i="1"/>
  <c r="AF102" i="1"/>
  <c r="AE102" i="1"/>
  <c r="AB99" i="1"/>
  <c r="U100" i="1" s="1"/>
  <c r="V100" i="1" s="1"/>
  <c r="M71" i="1"/>
  <c r="I72" i="1" s="1"/>
  <c r="J71" i="1"/>
  <c r="AR95" i="1" l="1"/>
  <c r="BA94" i="1"/>
  <c r="BB94" i="1"/>
  <c r="AU95" i="1" s="1"/>
  <c r="BC95" i="1" s="1"/>
  <c r="AH102" i="1"/>
  <c r="AG102" i="1"/>
  <c r="W100" i="1"/>
  <c r="J72" i="1"/>
  <c r="M72" i="1"/>
  <c r="I73" i="1" s="1"/>
  <c r="AV95" i="1" l="1"/>
  <c r="AW95" i="1"/>
  <c r="AI102" i="1"/>
  <c r="Y100" i="1"/>
  <c r="X100" i="1"/>
  <c r="J73" i="1"/>
  <c r="M73" i="1"/>
  <c r="I74" i="1" s="1"/>
  <c r="Z100" i="1" l="1"/>
  <c r="AA100" i="1" s="1"/>
  <c r="AY95" i="1"/>
  <c r="AX95" i="1"/>
  <c r="AS95" i="1"/>
  <c r="AM96" i="1"/>
  <c r="AO96" i="1" s="1"/>
  <c r="AJ102" i="1"/>
  <c r="AK102" i="1"/>
  <c r="AD103" i="1" s="1"/>
  <c r="J74" i="1"/>
  <c r="M74" i="1"/>
  <c r="I75" i="1" s="1"/>
  <c r="AZ95" i="1" l="1"/>
  <c r="AP96" i="1"/>
  <c r="AQ96" i="1"/>
  <c r="AN96" i="1"/>
  <c r="AF103" i="1"/>
  <c r="AE103" i="1"/>
  <c r="AB100" i="1"/>
  <c r="U101" i="1" s="1"/>
  <c r="V101" i="1" s="1"/>
  <c r="M75" i="1"/>
  <c r="I76" i="1" s="1"/>
  <c r="J75" i="1"/>
  <c r="AR96" i="1" l="1"/>
  <c r="BA95" i="1"/>
  <c r="BB95" i="1"/>
  <c r="AU96" i="1" s="1"/>
  <c r="BC96" i="1" s="1"/>
  <c r="W101" i="1"/>
  <c r="X101" i="1" s="1"/>
  <c r="AH103" i="1"/>
  <c r="AG103" i="1"/>
  <c r="J76" i="1"/>
  <c r="M76" i="1"/>
  <c r="I77" i="1" s="1"/>
  <c r="AV96" i="1" l="1"/>
  <c r="AW96" i="1"/>
  <c r="AI103" i="1"/>
  <c r="AJ103" i="1" s="1"/>
  <c r="Y101" i="1"/>
  <c r="Z101" i="1" s="1"/>
  <c r="AA101" i="1" s="1"/>
  <c r="M77" i="1"/>
  <c r="I78" i="1" s="1"/>
  <c r="J77" i="1"/>
  <c r="AY96" i="1" l="1"/>
  <c r="AX96" i="1"/>
  <c r="AK103" i="1"/>
  <c r="AD104" i="1" s="1"/>
  <c r="AE104" i="1" s="1"/>
  <c r="AS96" i="1"/>
  <c r="AM97" i="1"/>
  <c r="AO97" i="1" s="1"/>
  <c r="AB101" i="1"/>
  <c r="U102" i="1" s="1"/>
  <c r="V102" i="1" s="1"/>
  <c r="J78" i="1"/>
  <c r="M78" i="1"/>
  <c r="I79" i="1" s="1"/>
  <c r="AZ96" i="1" l="1"/>
  <c r="AP97" i="1"/>
  <c r="AQ97" i="1"/>
  <c r="W102" i="1"/>
  <c r="Y102" i="1" s="1"/>
  <c r="AF104" i="1"/>
  <c r="AH104" i="1" s="1"/>
  <c r="AN97" i="1"/>
  <c r="J79" i="1"/>
  <c r="M79" i="1"/>
  <c r="I80" i="1" s="1"/>
  <c r="AR97" i="1" l="1"/>
  <c r="BA96" i="1"/>
  <c r="BB96" i="1"/>
  <c r="AU97" i="1" s="1"/>
  <c r="BC97" i="1" s="1"/>
  <c r="AG104" i="1"/>
  <c r="AI104" i="1" s="1"/>
  <c r="X102" i="1"/>
  <c r="Z102" i="1" s="1"/>
  <c r="AA102" i="1" s="1"/>
  <c r="J80" i="1"/>
  <c r="M80" i="1"/>
  <c r="I81" i="1" s="1"/>
  <c r="AV97" i="1" l="1"/>
  <c r="AW97" i="1"/>
  <c r="AJ104" i="1"/>
  <c r="AK104" i="1"/>
  <c r="AD105" i="1" s="1"/>
  <c r="AB102" i="1"/>
  <c r="U103" i="1" s="1"/>
  <c r="V103" i="1" s="1"/>
  <c r="J81" i="1"/>
  <c r="M81" i="1"/>
  <c r="I82" i="1" s="1"/>
  <c r="AY97" i="1" l="1"/>
  <c r="AX97" i="1"/>
  <c r="AS97" i="1"/>
  <c r="AM98" i="1"/>
  <c r="AO98" i="1" s="1"/>
  <c r="AF105" i="1"/>
  <c r="AE105" i="1"/>
  <c r="W103" i="1"/>
  <c r="J82" i="1"/>
  <c r="M82" i="1"/>
  <c r="I83" i="1" s="1"/>
  <c r="AZ97" i="1" l="1"/>
  <c r="AP98" i="1"/>
  <c r="AQ98" i="1"/>
  <c r="AN98" i="1"/>
  <c r="AH105" i="1"/>
  <c r="AG105" i="1"/>
  <c r="Y103" i="1"/>
  <c r="X103" i="1"/>
  <c r="M83" i="1"/>
  <c r="I84" i="1" s="1"/>
  <c r="J83" i="1"/>
  <c r="AR98" i="1" l="1"/>
  <c r="BA97" i="1"/>
  <c r="BB97" i="1"/>
  <c r="AU98" i="1" s="1"/>
  <c r="BC98" i="1" s="1"/>
  <c r="AI105" i="1"/>
  <c r="Z103" i="1"/>
  <c r="AA103" i="1" s="1"/>
  <c r="J84" i="1"/>
  <c r="M84" i="1"/>
  <c r="I85" i="1" s="1"/>
  <c r="AV98" i="1" l="1"/>
  <c r="AW98" i="1"/>
  <c r="AJ105" i="1"/>
  <c r="AK105" i="1"/>
  <c r="AD106" i="1" s="1"/>
  <c r="AB103" i="1"/>
  <c r="U104" i="1" s="1"/>
  <c r="V104" i="1" s="1"/>
  <c r="M85" i="1"/>
  <c r="I86" i="1" s="1"/>
  <c r="J85" i="1"/>
  <c r="AY98" i="1" l="1"/>
  <c r="AX98" i="1"/>
  <c r="AS98" i="1"/>
  <c r="AM99" i="1"/>
  <c r="AO99" i="1" s="1"/>
  <c r="AF106" i="1"/>
  <c r="AE106" i="1"/>
  <c r="W104" i="1"/>
  <c r="M86" i="1"/>
  <c r="I87" i="1" s="1"/>
  <c r="J86" i="1"/>
  <c r="AZ98" i="1" l="1"/>
  <c r="AP99" i="1"/>
  <c r="AQ99" i="1"/>
  <c r="AN99" i="1"/>
  <c r="Y104" i="1"/>
  <c r="AH106" i="1"/>
  <c r="AG106" i="1"/>
  <c r="AI106" i="1" s="1"/>
  <c r="X104" i="1"/>
  <c r="M87" i="1"/>
  <c r="I88" i="1" s="1"/>
  <c r="J87" i="1"/>
  <c r="AR99" i="1" l="1"/>
  <c r="BA98" i="1"/>
  <c r="BB98" i="1"/>
  <c r="AU99" i="1" s="1"/>
  <c r="BC99" i="1" s="1"/>
  <c r="Z104" i="1"/>
  <c r="AA104" i="1" s="1"/>
  <c r="AJ106" i="1"/>
  <c r="AK106" i="1"/>
  <c r="AD107" i="1" s="1"/>
  <c r="J88" i="1"/>
  <c r="M88" i="1"/>
  <c r="I89" i="1" s="1"/>
  <c r="AB104" i="1" l="1"/>
  <c r="U105" i="1" s="1"/>
  <c r="V105" i="1" s="1"/>
  <c r="AV99" i="1"/>
  <c r="AW99" i="1"/>
  <c r="AF107" i="1"/>
  <c r="AE107" i="1"/>
  <c r="W105" i="1"/>
  <c r="M89" i="1"/>
  <c r="I90" i="1" s="1"/>
  <c r="J89" i="1"/>
  <c r="AY99" i="1" l="1"/>
  <c r="AX99" i="1"/>
  <c r="AS99" i="1"/>
  <c r="AM100" i="1"/>
  <c r="AO100" i="1" s="1"/>
  <c r="Y105" i="1"/>
  <c r="AH107" i="1"/>
  <c r="AG107" i="1"/>
  <c r="X105" i="1"/>
  <c r="M90" i="1"/>
  <c r="I91" i="1" s="1"/>
  <c r="J90" i="1"/>
  <c r="AZ99" i="1" l="1"/>
  <c r="AP100" i="1"/>
  <c r="AQ100" i="1"/>
  <c r="Z105" i="1"/>
  <c r="AA105" i="1" s="1"/>
  <c r="AI107" i="1"/>
  <c r="AJ107" i="1" s="1"/>
  <c r="AN100" i="1"/>
  <c r="J91" i="1"/>
  <c r="M91" i="1"/>
  <c r="I92" i="1" s="1"/>
  <c r="AR100" i="1" l="1"/>
  <c r="BA99" i="1"/>
  <c r="BB99" i="1"/>
  <c r="AU100" i="1" s="1"/>
  <c r="BC100" i="1" s="1"/>
  <c r="AK107" i="1"/>
  <c r="AD108" i="1" s="1"/>
  <c r="AF108" i="1" s="1"/>
  <c r="AB105" i="1"/>
  <c r="U106" i="1" s="1"/>
  <c r="V106" i="1" s="1"/>
  <c r="J92" i="1"/>
  <c r="M92" i="1"/>
  <c r="I93" i="1" s="1"/>
  <c r="AE108" i="1" l="1"/>
  <c r="W106" i="1"/>
  <c r="Y106" i="1" s="1"/>
  <c r="AV100" i="1"/>
  <c r="AW100" i="1"/>
  <c r="AH108" i="1"/>
  <c r="AG108" i="1"/>
  <c r="X106" i="1"/>
  <c r="M93" i="1"/>
  <c r="I94" i="1" s="1"/>
  <c r="J93" i="1"/>
  <c r="AY100" i="1" l="1"/>
  <c r="AX100" i="1"/>
  <c r="AI108" i="1"/>
  <c r="AK108" i="1" s="1"/>
  <c r="AD109" i="1" s="1"/>
  <c r="Z106" i="1"/>
  <c r="AA106" i="1" s="1"/>
  <c r="AS100" i="1"/>
  <c r="AM101" i="1"/>
  <c r="AO101" i="1" s="1"/>
  <c r="M94" i="1"/>
  <c r="I95" i="1" s="1"/>
  <c r="J94" i="1"/>
  <c r="AZ100" i="1" l="1"/>
  <c r="AP101" i="1"/>
  <c r="AQ101" i="1"/>
  <c r="AJ108" i="1"/>
  <c r="AN101" i="1"/>
  <c r="AF109" i="1"/>
  <c r="AE109" i="1"/>
  <c r="AB106" i="1"/>
  <c r="U107" i="1" s="1"/>
  <c r="V107" i="1" s="1"/>
  <c r="J95" i="1"/>
  <c r="M95" i="1"/>
  <c r="I96" i="1" s="1"/>
  <c r="AR101" i="1" l="1"/>
  <c r="BA100" i="1"/>
  <c r="BB100" i="1"/>
  <c r="AU101" i="1" s="1"/>
  <c r="BC101" i="1" s="1"/>
  <c r="AH109" i="1"/>
  <c r="AG109" i="1"/>
  <c r="W107" i="1"/>
  <c r="M96" i="1"/>
  <c r="I97" i="1" s="1"/>
  <c r="J96" i="1"/>
  <c r="AV101" i="1" l="1"/>
  <c r="AI109" i="1"/>
  <c r="AK109" i="1" s="1"/>
  <c r="AD110" i="1" s="1"/>
  <c r="AW101" i="1"/>
  <c r="Y107" i="1"/>
  <c r="X107" i="1"/>
  <c r="M97" i="1"/>
  <c r="I98" i="1" s="1"/>
  <c r="J97" i="1"/>
  <c r="AJ109" i="1" l="1"/>
  <c r="AY101" i="1"/>
  <c r="AX101" i="1"/>
  <c r="AS101" i="1"/>
  <c r="AM102" i="1"/>
  <c r="AO102" i="1" s="1"/>
  <c r="Z107" i="1"/>
  <c r="AA107" i="1" s="1"/>
  <c r="AF110" i="1"/>
  <c r="AE110" i="1"/>
  <c r="M98" i="1"/>
  <c r="I99" i="1" s="1"/>
  <c r="J98" i="1"/>
  <c r="AZ101" i="1" l="1"/>
  <c r="AP102" i="1"/>
  <c r="AQ102" i="1"/>
  <c r="AN102" i="1"/>
  <c r="AH110" i="1"/>
  <c r="AG110" i="1"/>
  <c r="AI110" i="1" s="1"/>
  <c r="AB107" i="1"/>
  <c r="U108" i="1" s="1"/>
  <c r="V108" i="1" s="1"/>
  <c r="J99" i="1"/>
  <c r="M99" i="1"/>
  <c r="I100" i="1" s="1"/>
  <c r="AR102" i="1" l="1"/>
  <c r="BA101" i="1"/>
  <c r="BB101" i="1"/>
  <c r="AU102" i="1" s="1"/>
  <c r="BC102" i="1" s="1"/>
  <c r="W108" i="1"/>
  <c r="J100" i="1"/>
  <c r="M100" i="1"/>
  <c r="I101" i="1" s="1"/>
  <c r="AV102" i="1" l="1"/>
  <c r="AW102" i="1"/>
  <c r="AJ110" i="1"/>
  <c r="AK110" i="1"/>
  <c r="AD111" i="1" s="1"/>
  <c r="Y108" i="1"/>
  <c r="X108" i="1"/>
  <c r="M101" i="1"/>
  <c r="I102" i="1" s="1"/>
  <c r="J101" i="1"/>
  <c r="AY102" i="1" l="1"/>
  <c r="AX102" i="1"/>
  <c r="Z108" i="1"/>
  <c r="AA108" i="1" s="1"/>
  <c r="AS102" i="1"/>
  <c r="AM103" i="1"/>
  <c r="AO103" i="1" s="1"/>
  <c r="AF111" i="1"/>
  <c r="AE111" i="1"/>
  <c r="M102" i="1"/>
  <c r="I103" i="1" s="1"/>
  <c r="J102" i="1"/>
  <c r="AZ102" i="1" l="1"/>
  <c r="AP103" i="1"/>
  <c r="AQ103" i="1"/>
  <c r="AN103" i="1"/>
  <c r="AH111" i="1"/>
  <c r="AG111" i="1"/>
  <c r="AI111" i="1" s="1"/>
  <c r="AB108" i="1"/>
  <c r="U109" i="1" s="1"/>
  <c r="V109" i="1" s="1"/>
  <c r="J103" i="1"/>
  <c r="M103" i="1"/>
  <c r="I104" i="1" s="1"/>
  <c r="AR103" i="1" l="1"/>
  <c r="BA102" i="1"/>
  <c r="BB102" i="1"/>
  <c r="AU103" i="1" s="1"/>
  <c r="BC103" i="1" s="1"/>
  <c r="W109" i="1"/>
  <c r="J104" i="1"/>
  <c r="M104" i="1"/>
  <c r="I105" i="1" s="1"/>
  <c r="AV103" i="1" l="1"/>
  <c r="AW103" i="1"/>
  <c r="AJ111" i="1"/>
  <c r="AK111" i="1"/>
  <c r="AD112" i="1" s="1"/>
  <c r="Y109" i="1"/>
  <c r="X109" i="1"/>
  <c r="M105" i="1"/>
  <c r="I106" i="1" s="1"/>
  <c r="J105" i="1"/>
  <c r="AY103" i="1" l="1"/>
  <c r="AX103" i="1"/>
  <c r="Z109" i="1"/>
  <c r="AA109" i="1" s="1"/>
  <c r="AS103" i="1"/>
  <c r="AM104" i="1"/>
  <c r="AO104" i="1" s="1"/>
  <c r="AF112" i="1"/>
  <c r="AE112" i="1"/>
  <c r="M106" i="1"/>
  <c r="I107" i="1" s="1"/>
  <c r="J106" i="1"/>
  <c r="AZ103" i="1" l="1"/>
  <c r="AP104" i="1"/>
  <c r="AQ104" i="1"/>
  <c r="AN104" i="1"/>
  <c r="AH112" i="1"/>
  <c r="AG112" i="1"/>
  <c r="AI112" i="1" s="1"/>
  <c r="AB109" i="1"/>
  <c r="U110" i="1" s="1"/>
  <c r="V110" i="1" s="1"/>
  <c r="J107" i="1"/>
  <c r="M107" i="1"/>
  <c r="I108" i="1" s="1"/>
  <c r="AR104" i="1" l="1"/>
  <c r="BA103" i="1"/>
  <c r="BB103" i="1"/>
  <c r="AU104" i="1" s="1"/>
  <c r="BC104" i="1" s="1"/>
  <c r="AJ112" i="1"/>
  <c r="AK112" i="1"/>
  <c r="AD113" i="1" s="1"/>
  <c r="W110" i="1"/>
  <c r="J108" i="1"/>
  <c r="M108" i="1"/>
  <c r="I109" i="1" s="1"/>
  <c r="AV104" i="1" l="1"/>
  <c r="AW104" i="1"/>
  <c r="AF113" i="1"/>
  <c r="AE113" i="1"/>
  <c r="Y110" i="1"/>
  <c r="X110" i="1"/>
  <c r="J109" i="1"/>
  <c r="M109" i="1"/>
  <c r="I110" i="1" s="1"/>
  <c r="AY104" i="1" l="1"/>
  <c r="AX104" i="1"/>
  <c r="Z110" i="1"/>
  <c r="AA110" i="1" s="1"/>
  <c r="AS104" i="1"/>
  <c r="AM105" i="1"/>
  <c r="AO105" i="1" s="1"/>
  <c r="AH113" i="1"/>
  <c r="AG113" i="1"/>
  <c r="M110" i="1"/>
  <c r="I111" i="1" s="1"/>
  <c r="J110" i="1"/>
  <c r="AZ104" i="1" l="1"/>
  <c r="AP105" i="1"/>
  <c r="AQ105" i="1"/>
  <c r="AI113" i="1"/>
  <c r="AN105" i="1"/>
  <c r="AB110" i="1"/>
  <c r="U111" i="1" s="1"/>
  <c r="V111" i="1" s="1"/>
  <c r="J111" i="1"/>
  <c r="M111" i="1"/>
  <c r="I112" i="1" s="1"/>
  <c r="AR105" i="1" l="1"/>
  <c r="BA104" i="1"/>
  <c r="BB104" i="1"/>
  <c r="AU105" i="1" s="1"/>
  <c r="BC105" i="1" s="1"/>
  <c r="AJ113" i="1"/>
  <c r="AK113" i="1"/>
  <c r="AD114" i="1" s="1"/>
  <c r="W111" i="1"/>
  <c r="J112" i="1"/>
  <c r="M112" i="1"/>
  <c r="I113" i="1" s="1"/>
  <c r="AV105" i="1" l="1"/>
  <c r="AW105" i="1"/>
  <c r="AF114" i="1"/>
  <c r="AE114" i="1"/>
  <c r="Y111" i="1"/>
  <c r="X111" i="1"/>
  <c r="M113" i="1"/>
  <c r="I114" i="1" s="1"/>
  <c r="J113" i="1"/>
  <c r="AY105" i="1" l="1"/>
  <c r="AX105" i="1"/>
  <c r="Z111" i="1"/>
  <c r="AA111" i="1" s="1"/>
  <c r="AS105" i="1"/>
  <c r="AM106" i="1"/>
  <c r="AO106" i="1" s="1"/>
  <c r="AH114" i="1"/>
  <c r="AG114" i="1"/>
  <c r="J114" i="1"/>
  <c r="M114" i="1"/>
  <c r="I115" i="1" s="1"/>
  <c r="AZ105" i="1" l="1"/>
  <c r="AP106" i="1"/>
  <c r="AQ106" i="1"/>
  <c r="AI114" i="1"/>
  <c r="AN106" i="1"/>
  <c r="AB111" i="1"/>
  <c r="U112" i="1" s="1"/>
  <c r="V112" i="1" s="1"/>
  <c r="M115" i="1"/>
  <c r="I116" i="1" s="1"/>
  <c r="J115" i="1"/>
  <c r="AR106" i="1" l="1"/>
  <c r="BA105" i="1"/>
  <c r="BB105" i="1"/>
  <c r="AU106" i="1" s="1"/>
  <c r="BC106" i="1" s="1"/>
  <c r="AJ114" i="1"/>
  <c r="AK114" i="1"/>
  <c r="AD115" i="1" s="1"/>
  <c r="W112" i="1"/>
  <c r="M116" i="1"/>
  <c r="I117" i="1" s="1"/>
  <c r="J116" i="1"/>
  <c r="AV106" i="1" l="1"/>
  <c r="AW106" i="1"/>
  <c r="AF115" i="1"/>
  <c r="AE115" i="1"/>
  <c r="Y112" i="1"/>
  <c r="X112" i="1"/>
  <c r="J117" i="1"/>
  <c r="M117" i="1"/>
  <c r="I118" i="1" s="1"/>
  <c r="AY106" i="1" l="1"/>
  <c r="AX106" i="1"/>
  <c r="Z112" i="1"/>
  <c r="AA112" i="1" s="1"/>
  <c r="AS106" i="1"/>
  <c r="AM107" i="1"/>
  <c r="AO107" i="1" s="1"/>
  <c r="AH115" i="1"/>
  <c r="AG115" i="1"/>
  <c r="J118" i="1"/>
  <c r="M118" i="1"/>
  <c r="I119" i="1" s="1"/>
  <c r="AZ106" i="1" l="1"/>
  <c r="AP107" i="1"/>
  <c r="AQ107" i="1"/>
  <c r="AN107" i="1"/>
  <c r="AI115" i="1"/>
  <c r="AB112" i="1"/>
  <c r="U113" i="1" s="1"/>
  <c r="V113" i="1" s="1"/>
  <c r="J119" i="1"/>
  <c r="M119" i="1"/>
  <c r="I120" i="1" s="1"/>
  <c r="AR107" i="1" l="1"/>
  <c r="BA106" i="1"/>
  <c r="BB106" i="1"/>
  <c r="AU107" i="1" s="1"/>
  <c r="BC107" i="1" s="1"/>
  <c r="AJ115" i="1"/>
  <c r="AK115" i="1"/>
  <c r="AD116" i="1" s="1"/>
  <c r="W113" i="1"/>
  <c r="J120" i="1"/>
  <c r="M120" i="1"/>
  <c r="I121" i="1" s="1"/>
  <c r="AV107" i="1" l="1"/>
  <c r="AW107" i="1"/>
  <c r="AF116" i="1"/>
  <c r="AE116" i="1"/>
  <c r="Y113" i="1"/>
  <c r="X113" i="1"/>
  <c r="J121" i="1"/>
  <c r="M121" i="1"/>
  <c r="I122" i="1" s="1"/>
  <c r="AY107" i="1" l="1"/>
  <c r="AX107" i="1"/>
  <c r="AS107" i="1"/>
  <c r="AM108" i="1"/>
  <c r="AO108" i="1" s="1"/>
  <c r="Z113" i="1"/>
  <c r="AA113" i="1" s="1"/>
  <c r="AH116" i="1"/>
  <c r="AG116" i="1"/>
  <c r="M122" i="1"/>
  <c r="I123" i="1" s="1"/>
  <c r="J122" i="1"/>
  <c r="AZ107" i="1" l="1"/>
  <c r="AP108" i="1"/>
  <c r="AQ108" i="1"/>
  <c r="AI116" i="1"/>
  <c r="AN108" i="1"/>
  <c r="AB113" i="1"/>
  <c r="U114" i="1" s="1"/>
  <c r="V114" i="1" s="1"/>
  <c r="M123" i="1"/>
  <c r="I124" i="1" s="1"/>
  <c r="J123" i="1"/>
  <c r="AR108" i="1" l="1"/>
  <c r="BA107" i="1"/>
  <c r="BB107" i="1"/>
  <c r="AU108" i="1" s="1"/>
  <c r="BC108" i="1" s="1"/>
  <c r="AJ116" i="1"/>
  <c r="AK116" i="1"/>
  <c r="AD117" i="1" s="1"/>
  <c r="W114" i="1"/>
  <c r="J124" i="1"/>
  <c r="M124" i="1"/>
  <c r="I125" i="1" s="1"/>
  <c r="AV108" i="1" l="1"/>
  <c r="AW108" i="1"/>
  <c r="Y114" i="1"/>
  <c r="AF117" i="1"/>
  <c r="AE117" i="1"/>
  <c r="X114" i="1"/>
  <c r="J125" i="1"/>
  <c r="M125" i="1"/>
  <c r="I126" i="1" s="1"/>
  <c r="Z114" i="1" l="1"/>
  <c r="AA114" i="1" s="1"/>
  <c r="AY108" i="1"/>
  <c r="AX108" i="1"/>
  <c r="AS108" i="1"/>
  <c r="AM109" i="1"/>
  <c r="AO109" i="1" s="1"/>
  <c r="AH117" i="1"/>
  <c r="AG117" i="1"/>
  <c r="AB114" i="1"/>
  <c r="U115" i="1" s="1"/>
  <c r="V115" i="1" s="1"/>
  <c r="M126" i="1"/>
  <c r="I127" i="1" s="1"/>
  <c r="J126" i="1"/>
  <c r="AZ108" i="1" l="1"/>
  <c r="AP109" i="1"/>
  <c r="AQ109" i="1"/>
  <c r="BA108" i="1"/>
  <c r="BB108" i="1"/>
  <c r="AU109" i="1" s="1"/>
  <c r="BC109" i="1" s="1"/>
  <c r="AN109" i="1"/>
  <c r="AI117" i="1"/>
  <c r="W115" i="1"/>
  <c r="J127" i="1"/>
  <c r="M127" i="1"/>
  <c r="I128" i="1" s="1"/>
  <c r="AR109" i="1" l="1"/>
  <c r="AV109" i="1"/>
  <c r="AJ117" i="1"/>
  <c r="AK117" i="1"/>
  <c r="AD118" i="1" s="1"/>
  <c r="Y115" i="1"/>
  <c r="X115" i="1"/>
  <c r="J128" i="1"/>
  <c r="M128" i="1"/>
  <c r="I129" i="1" s="1"/>
  <c r="Z115" i="1" l="1"/>
  <c r="AW109" i="1"/>
  <c r="AF118" i="1"/>
  <c r="AE118" i="1"/>
  <c r="AA115" i="1"/>
  <c r="J129" i="1"/>
  <c r="M129" i="1"/>
  <c r="I130" i="1" s="1"/>
  <c r="AY109" i="1" l="1"/>
  <c r="AX109" i="1"/>
  <c r="AS109" i="1"/>
  <c r="AM110" i="1"/>
  <c r="AO110" i="1" s="1"/>
  <c r="AH118" i="1"/>
  <c r="AG118" i="1"/>
  <c r="AB115" i="1"/>
  <c r="U116" i="1" s="1"/>
  <c r="V116" i="1" s="1"/>
  <c r="M130" i="1"/>
  <c r="I131" i="1" s="1"/>
  <c r="J130" i="1"/>
  <c r="AZ109" i="1" l="1"/>
  <c r="AP110" i="1"/>
  <c r="AQ110" i="1"/>
  <c r="AN110" i="1"/>
  <c r="AI118" i="1"/>
  <c r="W116" i="1"/>
  <c r="J131" i="1"/>
  <c r="M131" i="1"/>
  <c r="I132" i="1" s="1"/>
  <c r="AR110" i="1" l="1"/>
  <c r="BA109" i="1"/>
  <c r="BB109" i="1"/>
  <c r="AU110" i="1" s="1"/>
  <c r="BC110" i="1" s="1"/>
  <c r="AJ118" i="1"/>
  <c r="AK118" i="1"/>
  <c r="AD119" i="1" s="1"/>
  <c r="Y116" i="1"/>
  <c r="X116" i="1"/>
  <c r="Z116" i="1" s="1"/>
  <c r="J132" i="1"/>
  <c r="M132" i="1"/>
  <c r="I133" i="1" s="1"/>
  <c r="AV110" i="1" l="1"/>
  <c r="AW110" i="1"/>
  <c r="AF119" i="1"/>
  <c r="AE119" i="1"/>
  <c r="AA116" i="1"/>
  <c r="J133" i="1"/>
  <c r="M133" i="1"/>
  <c r="I134" i="1" s="1"/>
  <c r="AY110" i="1" l="1"/>
  <c r="AX110" i="1"/>
  <c r="AS110" i="1"/>
  <c r="AM111" i="1"/>
  <c r="AO111" i="1" s="1"/>
  <c r="AH119" i="1"/>
  <c r="AG119" i="1"/>
  <c r="AB116" i="1"/>
  <c r="U117" i="1" s="1"/>
  <c r="V117" i="1" s="1"/>
  <c r="M134" i="1"/>
  <c r="I135" i="1" s="1"/>
  <c r="J134" i="1"/>
  <c r="AZ110" i="1" l="1"/>
  <c r="AP111" i="1"/>
  <c r="AQ111" i="1"/>
  <c r="AN111" i="1"/>
  <c r="AI119" i="1"/>
  <c r="W117" i="1"/>
  <c r="J135" i="1"/>
  <c r="M135" i="1"/>
  <c r="I136" i="1" s="1"/>
  <c r="AR111" i="1" l="1"/>
  <c r="BA110" i="1"/>
  <c r="BB110" i="1"/>
  <c r="AU111" i="1" s="1"/>
  <c r="BC111" i="1" s="1"/>
  <c r="AJ119" i="1"/>
  <c r="AK119" i="1"/>
  <c r="AD120" i="1" s="1"/>
  <c r="Y117" i="1"/>
  <c r="X117" i="1"/>
  <c r="J136" i="1"/>
  <c r="M136" i="1"/>
  <c r="I137" i="1" s="1"/>
  <c r="Z117" i="1" l="1"/>
  <c r="AA117" i="1" s="1"/>
  <c r="AV111" i="1"/>
  <c r="AW111" i="1"/>
  <c r="AF120" i="1"/>
  <c r="AE120" i="1"/>
  <c r="J137" i="1"/>
  <c r="M137" i="1"/>
  <c r="I138" i="1" s="1"/>
  <c r="AY111" i="1" l="1"/>
  <c r="AX111" i="1"/>
  <c r="AZ111" i="1" s="1"/>
  <c r="AS111" i="1"/>
  <c r="AM112" i="1"/>
  <c r="AO112" i="1" s="1"/>
  <c r="AH120" i="1"/>
  <c r="AG120" i="1"/>
  <c r="AB117" i="1"/>
  <c r="U118" i="1" s="1"/>
  <c r="V118" i="1" s="1"/>
  <c r="M138" i="1"/>
  <c r="I139" i="1" s="1"/>
  <c r="J138" i="1"/>
  <c r="AP112" i="1" l="1"/>
  <c r="AQ112" i="1"/>
  <c r="AN112" i="1"/>
  <c r="AI120" i="1"/>
  <c r="AJ120" i="1" s="1"/>
  <c r="W118" i="1"/>
  <c r="J139" i="1"/>
  <c r="M139" i="1"/>
  <c r="I140" i="1" s="1"/>
  <c r="AR112" i="1" l="1"/>
  <c r="BA111" i="1"/>
  <c r="BB111" i="1"/>
  <c r="AU112" i="1" s="1"/>
  <c r="BC112" i="1" s="1"/>
  <c r="AK120" i="1"/>
  <c r="AD121" i="1" s="1"/>
  <c r="AF121" i="1" s="1"/>
  <c r="Y118" i="1"/>
  <c r="X118" i="1"/>
  <c r="J140" i="1"/>
  <c r="M140" i="1"/>
  <c r="I141" i="1" s="1"/>
  <c r="AV112" i="1" l="1"/>
  <c r="AW112" i="1"/>
  <c r="AE121" i="1"/>
  <c r="Z118" i="1"/>
  <c r="AA118" i="1" s="1"/>
  <c r="AH121" i="1"/>
  <c r="AG121" i="1"/>
  <c r="J141" i="1"/>
  <c r="M141" i="1"/>
  <c r="I142" i="1" s="1"/>
  <c r="AY112" i="1" l="1"/>
  <c r="AX112" i="1"/>
  <c r="AZ112" i="1" s="1"/>
  <c r="AI121" i="1"/>
  <c r="AS112" i="1"/>
  <c r="AM113" i="1"/>
  <c r="AO113" i="1" s="1"/>
  <c r="AB118" i="1"/>
  <c r="U119" i="1" s="1"/>
  <c r="V119" i="1" s="1"/>
  <c r="M142" i="1"/>
  <c r="I143" i="1" s="1"/>
  <c r="J142" i="1"/>
  <c r="AP113" i="1" l="1"/>
  <c r="AQ113" i="1"/>
  <c r="AN113" i="1"/>
  <c r="AJ121" i="1"/>
  <c r="AK121" i="1"/>
  <c r="AD122" i="1" s="1"/>
  <c r="W119" i="1"/>
  <c r="J143" i="1"/>
  <c r="M143" i="1"/>
  <c r="I144" i="1" s="1"/>
  <c r="AR113" i="1" l="1"/>
  <c r="BA112" i="1"/>
  <c r="BB112" i="1"/>
  <c r="AU113" i="1" s="1"/>
  <c r="BC113" i="1" s="1"/>
  <c r="AF122" i="1"/>
  <c r="AE122" i="1"/>
  <c r="Y119" i="1"/>
  <c r="X119" i="1"/>
  <c r="J144" i="1"/>
  <c r="M144" i="1"/>
  <c r="I145" i="1" s="1"/>
  <c r="AV113" i="1" l="1"/>
  <c r="AW113" i="1"/>
  <c r="Z119" i="1"/>
  <c r="AA119" i="1" s="1"/>
  <c r="AH122" i="1"/>
  <c r="AG122" i="1"/>
  <c r="J145" i="1"/>
  <c r="M145" i="1"/>
  <c r="I146" i="1" s="1"/>
  <c r="AI122" i="1" l="1"/>
  <c r="AY113" i="1"/>
  <c r="AX113" i="1"/>
  <c r="AS113" i="1"/>
  <c r="AM114" i="1"/>
  <c r="AO114" i="1" s="1"/>
  <c r="AB119" i="1"/>
  <c r="U120" i="1" s="1"/>
  <c r="V120" i="1" s="1"/>
  <c r="M146" i="1"/>
  <c r="I147" i="1" s="1"/>
  <c r="J146" i="1"/>
  <c r="AZ113" i="1" l="1"/>
  <c r="BB113" i="1"/>
  <c r="AU114" i="1" s="1"/>
  <c r="BC114" i="1" s="1"/>
  <c r="AP114" i="1"/>
  <c r="AQ114" i="1"/>
  <c r="AN114" i="1"/>
  <c r="AJ122" i="1"/>
  <c r="AK122" i="1"/>
  <c r="AD123" i="1" s="1"/>
  <c r="W120" i="1"/>
  <c r="J147" i="1"/>
  <c r="M147" i="1"/>
  <c r="I148" i="1" s="1"/>
  <c r="BA113" i="1" l="1"/>
  <c r="AR114" i="1"/>
  <c r="AV114" i="1"/>
  <c r="AF123" i="1"/>
  <c r="AE123" i="1"/>
  <c r="Y120" i="1"/>
  <c r="X120" i="1"/>
  <c r="J148" i="1"/>
  <c r="M148" i="1"/>
  <c r="I149" i="1" s="1"/>
  <c r="AW114" i="1" l="1"/>
  <c r="Z120" i="1"/>
  <c r="AA120" i="1" s="1"/>
  <c r="AH123" i="1"/>
  <c r="AG123" i="1"/>
  <c r="AI123" i="1" s="1"/>
  <c r="J149" i="1"/>
  <c r="M149" i="1"/>
  <c r="I150" i="1" s="1"/>
  <c r="AY114" i="1" l="1"/>
  <c r="AX114" i="1"/>
  <c r="AS114" i="1"/>
  <c r="AM115" i="1"/>
  <c r="AO115" i="1" s="1"/>
  <c r="AB120" i="1"/>
  <c r="U121" i="1" s="1"/>
  <c r="V121" i="1" s="1"/>
  <c r="M150" i="1"/>
  <c r="I151" i="1" s="1"/>
  <c r="J150" i="1"/>
  <c r="AZ114" i="1" l="1"/>
  <c r="AP115" i="1"/>
  <c r="AQ115" i="1"/>
  <c r="AN115" i="1"/>
  <c r="AJ123" i="1"/>
  <c r="AK123" i="1"/>
  <c r="AD124" i="1" s="1"/>
  <c r="W121" i="1"/>
  <c r="J151" i="1"/>
  <c r="M151" i="1"/>
  <c r="I152" i="1" s="1"/>
  <c r="AR115" i="1" l="1"/>
  <c r="BA114" i="1"/>
  <c r="BB114" i="1"/>
  <c r="AU115" i="1" s="1"/>
  <c r="BC115" i="1" s="1"/>
  <c r="AF124" i="1"/>
  <c r="AE124" i="1"/>
  <c r="Y121" i="1"/>
  <c r="X121" i="1"/>
  <c r="J152" i="1"/>
  <c r="M152" i="1"/>
  <c r="I153" i="1" s="1"/>
  <c r="AV115" i="1" l="1"/>
  <c r="AW115" i="1"/>
  <c r="Z121" i="1"/>
  <c r="AA121" i="1" s="1"/>
  <c r="AH124" i="1"/>
  <c r="AG124" i="1"/>
  <c r="J153" i="1"/>
  <c r="M153" i="1"/>
  <c r="I154" i="1" s="1"/>
  <c r="AI124" i="1" l="1"/>
  <c r="AY115" i="1"/>
  <c r="AX115" i="1"/>
  <c r="AS115" i="1"/>
  <c r="AM116" i="1"/>
  <c r="AO116" i="1" s="1"/>
  <c r="AJ124" i="1"/>
  <c r="AK124" i="1"/>
  <c r="AD125" i="1" s="1"/>
  <c r="AB121" i="1"/>
  <c r="U122" i="1" s="1"/>
  <c r="V122" i="1" s="1"/>
  <c r="M154" i="1"/>
  <c r="I155" i="1" s="1"/>
  <c r="J154" i="1"/>
  <c r="AZ115" i="1" l="1"/>
  <c r="BB115" i="1"/>
  <c r="AU116" i="1" s="1"/>
  <c r="BC116" i="1" s="1"/>
  <c r="AP116" i="1"/>
  <c r="AQ116" i="1"/>
  <c r="AN116" i="1"/>
  <c r="AF125" i="1"/>
  <c r="AE125" i="1"/>
  <c r="W122" i="1"/>
  <c r="J155" i="1"/>
  <c r="M155" i="1"/>
  <c r="I156" i="1" s="1"/>
  <c r="BA115" i="1" l="1"/>
  <c r="AR116" i="1"/>
  <c r="AV116" i="1"/>
  <c r="AH125" i="1"/>
  <c r="AG125" i="1"/>
  <c r="Y122" i="1"/>
  <c r="X122" i="1"/>
  <c r="J156" i="1"/>
  <c r="M156" i="1"/>
  <c r="I157" i="1" s="1"/>
  <c r="AI125" i="1" l="1"/>
  <c r="Z122" i="1"/>
  <c r="AW116" i="1"/>
  <c r="AJ125" i="1"/>
  <c r="AK125" i="1"/>
  <c r="AD126" i="1" s="1"/>
  <c r="AA122" i="1"/>
  <c r="M157" i="1"/>
  <c r="I158" i="1" s="1"/>
  <c r="J157" i="1"/>
  <c r="AY116" i="1" l="1"/>
  <c r="AX116" i="1"/>
  <c r="AS116" i="1"/>
  <c r="AM117" i="1"/>
  <c r="AO117" i="1" s="1"/>
  <c r="AF126" i="1"/>
  <c r="AE126" i="1"/>
  <c r="AB122" i="1"/>
  <c r="U123" i="1" s="1"/>
  <c r="V123" i="1" s="1"/>
  <c r="M158" i="1"/>
  <c r="I159" i="1" s="1"/>
  <c r="J158" i="1"/>
  <c r="AZ116" i="1" l="1"/>
  <c r="BA116" i="1" s="1"/>
  <c r="AP117" i="1"/>
  <c r="AQ117" i="1"/>
  <c r="AN117" i="1"/>
  <c r="AH126" i="1"/>
  <c r="AG126" i="1"/>
  <c r="W123" i="1"/>
  <c r="M159" i="1"/>
  <c r="I160" i="1" s="1"/>
  <c r="J159" i="1"/>
  <c r="AR117" i="1" l="1"/>
  <c r="BB116" i="1"/>
  <c r="AU117" i="1" s="1"/>
  <c r="AI126" i="1"/>
  <c r="Y123" i="1"/>
  <c r="X123" i="1"/>
  <c r="J160" i="1"/>
  <c r="M160" i="1"/>
  <c r="I161" i="1" s="1"/>
  <c r="Z123" i="1" l="1"/>
  <c r="AA123" i="1" s="1"/>
  <c r="AV117" i="1"/>
  <c r="BC117" i="1"/>
  <c r="AW117" i="1"/>
  <c r="AJ126" i="1"/>
  <c r="AK126" i="1"/>
  <c r="AD127" i="1" s="1"/>
  <c r="M161" i="1"/>
  <c r="I162" i="1" s="1"/>
  <c r="J161" i="1"/>
  <c r="AY117" i="1" l="1"/>
  <c r="AX117" i="1"/>
  <c r="AS117" i="1"/>
  <c r="AM118" i="1"/>
  <c r="AO118" i="1" s="1"/>
  <c r="AE127" i="1"/>
  <c r="AF127" i="1"/>
  <c r="AB123" i="1"/>
  <c r="U124" i="1" s="1"/>
  <c r="V124" i="1" s="1"/>
  <c r="M162" i="1"/>
  <c r="I163" i="1" s="1"/>
  <c r="J162" i="1"/>
  <c r="AZ117" i="1" l="1"/>
  <c r="AP118" i="1"/>
  <c r="AQ118" i="1"/>
  <c r="AN118" i="1"/>
  <c r="AH127" i="1"/>
  <c r="AG127" i="1"/>
  <c r="AI127" i="1" s="1"/>
  <c r="W124" i="1"/>
  <c r="M163" i="1"/>
  <c r="I164" i="1" s="1"/>
  <c r="J163" i="1"/>
  <c r="AR118" i="1" l="1"/>
  <c r="BA117" i="1"/>
  <c r="BB117" i="1"/>
  <c r="AU118" i="1" s="1"/>
  <c r="BC118" i="1" s="1"/>
  <c r="Y124" i="1"/>
  <c r="X124" i="1"/>
  <c r="J164" i="1"/>
  <c r="M164" i="1"/>
  <c r="I165" i="1" s="1"/>
  <c r="Z124" i="1" l="1"/>
  <c r="AV118" i="1"/>
  <c r="AW118" i="1"/>
  <c r="AJ127" i="1"/>
  <c r="AK127" i="1"/>
  <c r="AD128" i="1" s="1"/>
  <c r="AA124" i="1"/>
  <c r="M165" i="1"/>
  <c r="I166" i="1" s="1"/>
  <c r="J165" i="1"/>
  <c r="AY118" i="1" l="1"/>
  <c r="AX118" i="1"/>
  <c r="AZ118" i="1" s="1"/>
  <c r="AS118" i="1"/>
  <c r="AM119" i="1"/>
  <c r="AO119" i="1" s="1"/>
  <c r="AE128" i="1"/>
  <c r="AF128" i="1"/>
  <c r="AB124" i="1"/>
  <c r="U125" i="1" s="1"/>
  <c r="V125" i="1" s="1"/>
  <c r="M166" i="1"/>
  <c r="I167" i="1" s="1"/>
  <c r="J166" i="1"/>
  <c r="BA118" i="1" l="1"/>
  <c r="AP119" i="1"/>
  <c r="AQ119" i="1"/>
  <c r="AN119" i="1"/>
  <c r="AH128" i="1"/>
  <c r="AG128" i="1"/>
  <c r="W125" i="1"/>
  <c r="M167" i="1"/>
  <c r="I168" i="1" s="1"/>
  <c r="J167" i="1"/>
  <c r="BB118" i="1" l="1"/>
  <c r="AU119" i="1" s="1"/>
  <c r="BC119" i="1" s="1"/>
  <c r="AR119" i="1"/>
  <c r="AI128" i="1"/>
  <c r="AJ128" i="1" s="1"/>
  <c r="Y125" i="1"/>
  <c r="X125" i="1"/>
  <c r="J168" i="1"/>
  <c r="M168" i="1"/>
  <c r="I169" i="1" s="1"/>
  <c r="AV119" i="1" l="1"/>
  <c r="Z125" i="1"/>
  <c r="AA125" i="1" s="1"/>
  <c r="AK128" i="1"/>
  <c r="AD129" i="1" s="1"/>
  <c r="AF129" i="1" s="1"/>
  <c r="AW119" i="1"/>
  <c r="M169" i="1"/>
  <c r="I170" i="1" s="1"/>
  <c r="J169" i="1"/>
  <c r="AY119" i="1" l="1"/>
  <c r="AX119" i="1"/>
  <c r="AE129" i="1"/>
  <c r="AS119" i="1"/>
  <c r="AM120" i="1"/>
  <c r="AO120" i="1" s="1"/>
  <c r="AH129" i="1"/>
  <c r="AG129" i="1"/>
  <c r="AB125" i="1"/>
  <c r="U126" i="1" s="1"/>
  <c r="V126" i="1" s="1"/>
  <c r="M170" i="1"/>
  <c r="I171" i="1" s="1"/>
  <c r="J170" i="1"/>
  <c r="AZ119" i="1" l="1"/>
  <c r="BA119" i="1" s="1"/>
  <c r="AP120" i="1"/>
  <c r="AQ120" i="1"/>
  <c r="AI129" i="1"/>
  <c r="AN120" i="1"/>
  <c r="W126" i="1"/>
  <c r="M171" i="1"/>
  <c r="I172" i="1" s="1"/>
  <c r="J171" i="1"/>
  <c r="AR120" i="1" l="1"/>
  <c r="BB119" i="1"/>
  <c r="AU120" i="1" s="1"/>
  <c r="AJ129" i="1"/>
  <c r="AK129" i="1"/>
  <c r="AD130" i="1" s="1"/>
  <c r="Y126" i="1"/>
  <c r="X126" i="1"/>
  <c r="J172" i="1"/>
  <c r="M172" i="1"/>
  <c r="I173" i="1" s="1"/>
  <c r="AV120" i="1" l="1"/>
  <c r="BC120" i="1"/>
  <c r="AW120" i="1"/>
  <c r="Z126" i="1"/>
  <c r="AA126" i="1" s="1"/>
  <c r="AE130" i="1"/>
  <c r="AF130" i="1"/>
  <c r="M173" i="1"/>
  <c r="I174" i="1" s="1"/>
  <c r="J173" i="1"/>
  <c r="AY120" i="1" l="1"/>
  <c r="AX120" i="1"/>
  <c r="AZ120" i="1" s="1"/>
  <c r="AS120" i="1"/>
  <c r="AM121" i="1"/>
  <c r="AO121" i="1" s="1"/>
  <c r="AH130" i="1"/>
  <c r="AG130" i="1"/>
  <c r="AI130" i="1" s="1"/>
  <c r="AB126" i="1"/>
  <c r="U127" i="1" s="1"/>
  <c r="V127" i="1" s="1"/>
  <c r="M174" i="1"/>
  <c r="I175" i="1" s="1"/>
  <c r="J174" i="1"/>
  <c r="AP121" i="1" l="1"/>
  <c r="AQ121" i="1"/>
  <c r="AN121" i="1"/>
  <c r="W127" i="1"/>
  <c r="M175" i="1"/>
  <c r="I176" i="1" s="1"/>
  <c r="J175" i="1"/>
  <c r="AR121" i="1" l="1"/>
  <c r="BA120" i="1"/>
  <c r="BB120" i="1"/>
  <c r="AU121" i="1" s="1"/>
  <c r="BC121" i="1" s="1"/>
  <c r="AJ130" i="1"/>
  <c r="AK130" i="1"/>
  <c r="AD131" i="1" s="1"/>
  <c r="Y127" i="1"/>
  <c r="X127" i="1"/>
  <c r="J176" i="1"/>
  <c r="M176" i="1"/>
  <c r="I177" i="1" s="1"/>
  <c r="AV121" i="1" l="1"/>
  <c r="AW121" i="1"/>
  <c r="Z127" i="1"/>
  <c r="AA127" i="1" s="1"/>
  <c r="AE131" i="1"/>
  <c r="AF131" i="1"/>
  <c r="M177" i="1"/>
  <c r="I178" i="1" s="1"/>
  <c r="J177" i="1"/>
  <c r="AY121" i="1" l="1"/>
  <c r="AX121" i="1"/>
  <c r="AS121" i="1"/>
  <c r="AM122" i="1"/>
  <c r="AO122" i="1" s="1"/>
  <c r="AH131" i="1"/>
  <c r="AG131" i="1"/>
  <c r="AI131" i="1" s="1"/>
  <c r="AB127" i="1"/>
  <c r="U128" i="1" s="1"/>
  <c r="V128" i="1" s="1"/>
  <c r="M178" i="1"/>
  <c r="I179" i="1" s="1"/>
  <c r="J178" i="1"/>
  <c r="AZ121" i="1" l="1"/>
  <c r="AP122" i="1"/>
  <c r="AQ122" i="1"/>
  <c r="AN122" i="1"/>
  <c r="W128" i="1"/>
  <c r="M179" i="1"/>
  <c r="I180" i="1" s="1"/>
  <c r="J179" i="1"/>
  <c r="AR122" i="1" l="1"/>
  <c r="BA121" i="1"/>
  <c r="BB121" i="1"/>
  <c r="AU122" i="1" s="1"/>
  <c r="BC122" i="1" s="1"/>
  <c r="AJ131" i="1"/>
  <c r="AK131" i="1"/>
  <c r="AD132" i="1" s="1"/>
  <c r="Y128" i="1"/>
  <c r="X128" i="1"/>
  <c r="J180" i="1"/>
  <c r="M180" i="1"/>
  <c r="I181" i="1" s="1"/>
  <c r="Z128" i="1" l="1"/>
  <c r="AV122" i="1"/>
  <c r="AW122" i="1"/>
  <c r="AE132" i="1"/>
  <c r="AF132" i="1"/>
  <c r="AA128" i="1"/>
  <c r="M181" i="1"/>
  <c r="I182" i="1" s="1"/>
  <c r="J181" i="1"/>
  <c r="AY122" i="1" l="1"/>
  <c r="AX122" i="1"/>
  <c r="AS122" i="1"/>
  <c r="AM123" i="1"/>
  <c r="AO123" i="1" s="1"/>
  <c r="AH132" i="1"/>
  <c r="AG132" i="1"/>
  <c r="AB128" i="1"/>
  <c r="U129" i="1" s="1"/>
  <c r="V129" i="1" s="1"/>
  <c r="M182" i="1"/>
  <c r="I183" i="1" s="1"/>
  <c r="J182" i="1"/>
  <c r="AZ122" i="1" l="1"/>
  <c r="AP123" i="1"/>
  <c r="AQ123" i="1"/>
  <c r="AI132" i="1"/>
  <c r="AN123" i="1"/>
  <c r="W129" i="1"/>
  <c r="M183" i="1"/>
  <c r="I184" i="1" s="1"/>
  <c r="J183" i="1"/>
  <c r="AR123" i="1" l="1"/>
  <c r="BA122" i="1"/>
  <c r="BB122" i="1"/>
  <c r="AU123" i="1" s="1"/>
  <c r="BC123" i="1" s="1"/>
  <c r="AJ132" i="1"/>
  <c r="AK132" i="1"/>
  <c r="AD133" i="1" s="1"/>
  <c r="Y129" i="1"/>
  <c r="X129" i="1"/>
  <c r="J184" i="1"/>
  <c r="M184" i="1"/>
  <c r="I185" i="1" s="1"/>
  <c r="Z129" i="1" l="1"/>
  <c r="AV123" i="1"/>
  <c r="AW123" i="1"/>
  <c r="AE133" i="1"/>
  <c r="AF133" i="1"/>
  <c r="AA129" i="1"/>
  <c r="M185" i="1"/>
  <c r="I186" i="1" s="1"/>
  <c r="J185" i="1"/>
  <c r="AY123" i="1" l="1"/>
  <c r="AX123" i="1"/>
  <c r="AS123" i="1"/>
  <c r="AM124" i="1"/>
  <c r="AO124" i="1" s="1"/>
  <c r="AH133" i="1"/>
  <c r="AG133" i="1"/>
  <c r="AB129" i="1"/>
  <c r="U130" i="1" s="1"/>
  <c r="V130" i="1" s="1"/>
  <c r="J186" i="1"/>
  <c r="M186" i="1"/>
  <c r="I187" i="1" s="1"/>
  <c r="AZ123" i="1" l="1"/>
  <c r="AP124" i="1"/>
  <c r="AQ124" i="1"/>
  <c r="AN124" i="1"/>
  <c r="AI133" i="1"/>
  <c r="W130" i="1"/>
  <c r="M187" i="1"/>
  <c r="I188" i="1" s="1"/>
  <c r="J187" i="1"/>
  <c r="AR124" i="1" l="1"/>
  <c r="BA123" i="1"/>
  <c r="BB123" i="1"/>
  <c r="AU124" i="1" s="1"/>
  <c r="BC124" i="1" s="1"/>
  <c r="AJ133" i="1"/>
  <c r="AK133" i="1"/>
  <c r="AD134" i="1" s="1"/>
  <c r="Y130" i="1"/>
  <c r="X130" i="1"/>
  <c r="Z130" i="1" s="1"/>
  <c r="J188" i="1"/>
  <c r="M188" i="1"/>
  <c r="I189" i="1" s="1"/>
  <c r="AV124" i="1" l="1"/>
  <c r="AW124" i="1"/>
  <c r="AE134" i="1"/>
  <c r="AF134" i="1"/>
  <c r="AA130" i="1"/>
  <c r="M189" i="1"/>
  <c r="I190" i="1" s="1"/>
  <c r="J189" i="1"/>
  <c r="AY124" i="1" l="1"/>
  <c r="AX124" i="1"/>
  <c r="AZ124" i="1" s="1"/>
  <c r="AS124" i="1"/>
  <c r="AM125" i="1"/>
  <c r="AO125" i="1" s="1"/>
  <c r="AH134" i="1"/>
  <c r="AG134" i="1"/>
  <c r="AB130" i="1"/>
  <c r="U131" i="1" s="1"/>
  <c r="V131" i="1" s="1"/>
  <c r="M190" i="1"/>
  <c r="I191" i="1" s="1"/>
  <c r="J190" i="1"/>
  <c r="AP125" i="1" l="1"/>
  <c r="AQ125" i="1"/>
  <c r="AI134" i="1"/>
  <c r="AN125" i="1"/>
  <c r="W131" i="1"/>
  <c r="J191" i="1"/>
  <c r="M191" i="1"/>
  <c r="I192" i="1" s="1"/>
  <c r="AR125" i="1" l="1"/>
  <c r="BA124" i="1"/>
  <c r="BB124" i="1"/>
  <c r="AU125" i="1" s="1"/>
  <c r="BC125" i="1" s="1"/>
  <c r="AJ134" i="1"/>
  <c r="AK134" i="1"/>
  <c r="AD135" i="1" s="1"/>
  <c r="Y131" i="1"/>
  <c r="X131" i="1"/>
  <c r="J192" i="1"/>
  <c r="M192" i="1"/>
  <c r="I193" i="1" s="1"/>
  <c r="AV125" i="1" l="1"/>
  <c r="AW125" i="1"/>
  <c r="Z131" i="1"/>
  <c r="AA131" i="1" s="1"/>
  <c r="AE135" i="1"/>
  <c r="AF135" i="1"/>
  <c r="J193" i="1"/>
  <c r="M193" i="1"/>
  <c r="I194" i="1" s="1"/>
  <c r="AY125" i="1" l="1"/>
  <c r="AX125" i="1"/>
  <c r="AS125" i="1"/>
  <c r="AM126" i="1"/>
  <c r="AO126" i="1" s="1"/>
  <c r="AH135" i="1"/>
  <c r="AG135" i="1"/>
  <c r="AB131" i="1"/>
  <c r="U132" i="1" s="1"/>
  <c r="V132" i="1" s="1"/>
  <c r="M194" i="1"/>
  <c r="I195" i="1" s="1"/>
  <c r="J194" i="1"/>
  <c r="AZ125" i="1" l="1"/>
  <c r="AP126" i="1"/>
  <c r="AQ126" i="1"/>
  <c r="AI135" i="1"/>
  <c r="AN126" i="1"/>
  <c r="W132" i="1"/>
  <c r="J195" i="1"/>
  <c r="M195" i="1"/>
  <c r="I196" i="1" s="1"/>
  <c r="AR126" i="1" l="1"/>
  <c r="BA125" i="1"/>
  <c r="BB125" i="1"/>
  <c r="AU126" i="1" s="1"/>
  <c r="BC126" i="1" s="1"/>
  <c r="AJ135" i="1"/>
  <c r="AK135" i="1"/>
  <c r="AD136" i="1" s="1"/>
  <c r="Y132" i="1"/>
  <c r="X132" i="1"/>
  <c r="J196" i="1"/>
  <c r="M196" i="1"/>
  <c r="I197" i="1" s="1"/>
  <c r="AV126" i="1" l="1"/>
  <c r="AW126" i="1"/>
  <c r="Z132" i="1"/>
  <c r="AA132" i="1" s="1"/>
  <c r="AE136" i="1"/>
  <c r="AF136" i="1"/>
  <c r="J197" i="1"/>
  <c r="M197" i="1"/>
  <c r="I198" i="1" s="1"/>
  <c r="AY126" i="1" l="1"/>
  <c r="AX126" i="1"/>
  <c r="AZ126" i="1" s="1"/>
  <c r="AS126" i="1"/>
  <c r="AM127" i="1"/>
  <c r="AO127" i="1" s="1"/>
  <c r="AH136" i="1"/>
  <c r="AG136" i="1"/>
  <c r="AB132" i="1"/>
  <c r="U133" i="1" s="1"/>
  <c r="V133" i="1" s="1"/>
  <c r="M198" i="1"/>
  <c r="I199" i="1" s="1"/>
  <c r="J198" i="1"/>
  <c r="AP127" i="1" l="1"/>
  <c r="AQ127" i="1"/>
  <c r="AI136" i="1"/>
  <c r="AN127" i="1"/>
  <c r="W133" i="1"/>
  <c r="J199" i="1"/>
  <c r="M199" i="1"/>
  <c r="I200" i="1" s="1"/>
  <c r="AR127" i="1" l="1"/>
  <c r="BA126" i="1"/>
  <c r="BB126" i="1"/>
  <c r="AU127" i="1" s="1"/>
  <c r="BC127" i="1" s="1"/>
  <c r="AJ136" i="1"/>
  <c r="AK136" i="1"/>
  <c r="AD137" i="1" s="1"/>
  <c r="Y133" i="1"/>
  <c r="X133" i="1"/>
  <c r="J200" i="1"/>
  <c r="M200" i="1"/>
  <c r="I201" i="1" s="1"/>
  <c r="AV127" i="1" l="1"/>
  <c r="AW127" i="1"/>
  <c r="Z133" i="1"/>
  <c r="AA133" i="1" s="1"/>
  <c r="AE137" i="1"/>
  <c r="AF137" i="1"/>
  <c r="J201" i="1"/>
  <c r="M201" i="1"/>
  <c r="I202" i="1" s="1"/>
  <c r="AY127" i="1" l="1"/>
  <c r="AX127" i="1"/>
  <c r="AS127" i="1"/>
  <c r="AM128" i="1"/>
  <c r="AO128" i="1" s="1"/>
  <c r="AH137" i="1"/>
  <c r="AG137" i="1"/>
  <c r="AB133" i="1"/>
  <c r="U134" i="1" s="1"/>
  <c r="V134" i="1" s="1"/>
  <c r="M202" i="1"/>
  <c r="I203" i="1" s="1"/>
  <c r="J202" i="1"/>
  <c r="AZ127" i="1" l="1"/>
  <c r="AP128" i="1"/>
  <c r="AQ128" i="1"/>
  <c r="AI137" i="1"/>
  <c r="AN128" i="1"/>
  <c r="W134" i="1"/>
  <c r="J203" i="1"/>
  <c r="M203" i="1"/>
  <c r="I204" i="1" s="1"/>
  <c r="AR128" i="1" l="1"/>
  <c r="BA127" i="1"/>
  <c r="BB127" i="1"/>
  <c r="AU128" i="1" s="1"/>
  <c r="BC128" i="1" s="1"/>
  <c r="AJ137" i="1"/>
  <c r="AK137" i="1"/>
  <c r="AD138" i="1" s="1"/>
  <c r="Y134" i="1"/>
  <c r="X134" i="1"/>
  <c r="J204" i="1"/>
  <c r="M204" i="1"/>
  <c r="I205" i="1" s="1"/>
  <c r="AV128" i="1" l="1"/>
  <c r="AW128" i="1"/>
  <c r="Z134" i="1"/>
  <c r="AA134" i="1" s="1"/>
  <c r="AE138" i="1"/>
  <c r="AF138" i="1"/>
  <c r="J205" i="1"/>
  <c r="M205" i="1"/>
  <c r="I206" i="1" s="1"/>
  <c r="AY128" i="1" l="1"/>
  <c r="AX128" i="1"/>
  <c r="AS128" i="1"/>
  <c r="AM129" i="1"/>
  <c r="AO129" i="1" s="1"/>
  <c r="AH138" i="1"/>
  <c r="AG138" i="1"/>
  <c r="AB134" i="1"/>
  <c r="U135" i="1" s="1"/>
  <c r="V135" i="1" s="1"/>
  <c r="M206" i="1"/>
  <c r="I207" i="1" s="1"/>
  <c r="J206" i="1"/>
  <c r="AZ128" i="1" l="1"/>
  <c r="AP129" i="1"/>
  <c r="AQ129" i="1"/>
  <c r="AI138" i="1"/>
  <c r="AN129" i="1"/>
  <c r="W135" i="1"/>
  <c r="J207" i="1"/>
  <c r="M207" i="1"/>
  <c r="I208" i="1" s="1"/>
  <c r="AR129" i="1" l="1"/>
  <c r="BA128" i="1"/>
  <c r="BB128" i="1"/>
  <c r="AU129" i="1" s="1"/>
  <c r="BC129" i="1" s="1"/>
  <c r="AJ138" i="1"/>
  <c r="AK138" i="1"/>
  <c r="AD139" i="1" s="1"/>
  <c r="Y135" i="1"/>
  <c r="X135" i="1"/>
  <c r="J208" i="1"/>
  <c r="M208" i="1"/>
  <c r="I209" i="1" s="1"/>
  <c r="AV129" i="1" l="1"/>
  <c r="AW129" i="1"/>
  <c r="Z135" i="1"/>
  <c r="AA135" i="1" s="1"/>
  <c r="AE139" i="1"/>
  <c r="AF139" i="1"/>
  <c r="J209" i="1"/>
  <c r="M209" i="1"/>
  <c r="I210" i="1" s="1"/>
  <c r="AY129" i="1" l="1"/>
  <c r="AX129" i="1"/>
  <c r="AS129" i="1"/>
  <c r="AM130" i="1"/>
  <c r="AO130" i="1" s="1"/>
  <c r="AH139" i="1"/>
  <c r="AG139" i="1"/>
  <c r="AB135" i="1"/>
  <c r="U136" i="1" s="1"/>
  <c r="V136" i="1" s="1"/>
  <c r="M210" i="1"/>
  <c r="I211" i="1" s="1"/>
  <c r="J210" i="1"/>
  <c r="AZ129" i="1" l="1"/>
  <c r="BA129" i="1" s="1"/>
  <c r="AP130" i="1"/>
  <c r="AQ130" i="1"/>
  <c r="AI139" i="1"/>
  <c r="AN130" i="1"/>
  <c r="W136" i="1"/>
  <c r="J211" i="1"/>
  <c r="M211" i="1"/>
  <c r="I212" i="1" s="1"/>
  <c r="BB129" i="1" l="1"/>
  <c r="AU130" i="1" s="1"/>
  <c r="BC130" i="1" s="1"/>
  <c r="AR130" i="1"/>
  <c r="AJ139" i="1"/>
  <c r="AK139" i="1"/>
  <c r="AD140" i="1" s="1"/>
  <c r="Y136" i="1"/>
  <c r="X136" i="1"/>
  <c r="J212" i="1"/>
  <c r="M212" i="1"/>
  <c r="I213" i="1" s="1"/>
  <c r="AV130" i="1" l="1"/>
  <c r="AW130" i="1"/>
  <c r="Z136" i="1"/>
  <c r="AA136" i="1" s="1"/>
  <c r="AE140" i="1"/>
  <c r="AF140" i="1"/>
  <c r="J213" i="1"/>
  <c r="M213" i="1"/>
  <c r="I214" i="1" s="1"/>
  <c r="AY130" i="1" l="1"/>
  <c r="AX130" i="1"/>
  <c r="AZ130" i="1" s="1"/>
  <c r="AS130" i="1"/>
  <c r="AM131" i="1"/>
  <c r="AO131" i="1" s="1"/>
  <c r="AH140" i="1"/>
  <c r="AG140" i="1"/>
  <c r="AB136" i="1"/>
  <c r="U137" i="1" s="1"/>
  <c r="V137" i="1" s="1"/>
  <c r="M214" i="1"/>
  <c r="I215" i="1" s="1"/>
  <c r="J214" i="1"/>
  <c r="AI140" i="1" l="1"/>
  <c r="BB130" i="1"/>
  <c r="AU131" i="1" s="1"/>
  <c r="BC131" i="1" s="1"/>
  <c r="AP131" i="1"/>
  <c r="AQ131" i="1"/>
  <c r="AN131" i="1"/>
  <c r="W137" i="1"/>
  <c r="J215" i="1"/>
  <c r="M215" i="1"/>
  <c r="I216" i="1" s="1"/>
  <c r="BA130" i="1" l="1"/>
  <c r="AR131" i="1"/>
  <c r="AV131" i="1"/>
  <c r="AJ140" i="1"/>
  <c r="AK140" i="1"/>
  <c r="AD141" i="1" s="1"/>
  <c r="Y137" i="1"/>
  <c r="X137" i="1"/>
  <c r="J216" i="1"/>
  <c r="M216" i="1"/>
  <c r="I217" i="1" s="1"/>
  <c r="AW131" i="1" l="1"/>
  <c r="Z137" i="1"/>
  <c r="AA137" i="1" s="1"/>
  <c r="AE141" i="1"/>
  <c r="AF141" i="1"/>
  <c r="J217" i="1"/>
  <c r="M217" i="1"/>
  <c r="I218" i="1" s="1"/>
  <c r="AY131" i="1" l="1"/>
  <c r="AX131" i="1"/>
  <c r="AZ131" i="1" s="1"/>
  <c r="AS131" i="1"/>
  <c r="AM132" i="1"/>
  <c r="AO132" i="1" s="1"/>
  <c r="AH141" i="1"/>
  <c r="AG141" i="1"/>
  <c r="AB137" i="1"/>
  <c r="U138" i="1" s="1"/>
  <c r="V138" i="1" s="1"/>
  <c r="M218" i="1"/>
  <c r="I219" i="1" s="1"/>
  <c r="J218" i="1"/>
  <c r="BA131" i="1" l="1"/>
  <c r="AP132" i="1"/>
  <c r="AQ132" i="1"/>
  <c r="AN132" i="1"/>
  <c r="AI141" i="1"/>
  <c r="W138" i="1"/>
  <c r="J219" i="1"/>
  <c r="M219" i="1"/>
  <c r="I220" i="1" s="1"/>
  <c r="BB131" i="1" l="1"/>
  <c r="AU132" i="1" s="1"/>
  <c r="BC132" i="1" s="1"/>
  <c r="AR132" i="1"/>
  <c r="AJ141" i="1"/>
  <c r="AK141" i="1"/>
  <c r="AD142" i="1" s="1"/>
  <c r="Y138" i="1"/>
  <c r="X138" i="1"/>
  <c r="J220" i="1"/>
  <c r="M220" i="1"/>
  <c r="I221" i="1" s="1"/>
  <c r="AV132" i="1" l="1"/>
  <c r="AW132" i="1"/>
  <c r="Z138" i="1"/>
  <c r="AA138" i="1" s="1"/>
  <c r="AE142" i="1"/>
  <c r="AF142" i="1"/>
  <c r="J221" i="1"/>
  <c r="M221" i="1"/>
  <c r="I222" i="1" s="1"/>
  <c r="AY132" i="1" l="1"/>
  <c r="AX132" i="1"/>
  <c r="AS132" i="1"/>
  <c r="AM133" i="1"/>
  <c r="AO133" i="1" s="1"/>
  <c r="AH142" i="1"/>
  <c r="AG142" i="1"/>
  <c r="AI142" i="1" s="1"/>
  <c r="AB138" i="1"/>
  <c r="U139" i="1" s="1"/>
  <c r="V139" i="1" s="1"/>
  <c r="M222" i="1"/>
  <c r="I223" i="1" s="1"/>
  <c r="J222" i="1"/>
  <c r="AZ132" i="1" l="1"/>
  <c r="BA132" i="1" s="1"/>
  <c r="AP133" i="1"/>
  <c r="AQ133" i="1"/>
  <c r="BB132" i="1"/>
  <c r="AU133" i="1" s="1"/>
  <c r="BC133" i="1" s="1"/>
  <c r="AN133" i="1"/>
  <c r="W139" i="1"/>
  <c r="J223" i="1"/>
  <c r="M223" i="1"/>
  <c r="I224" i="1" s="1"/>
  <c r="AR133" i="1" l="1"/>
  <c r="AV133" i="1"/>
  <c r="Y139" i="1"/>
  <c r="AJ142" i="1"/>
  <c r="AK142" i="1"/>
  <c r="AD143" i="1" s="1"/>
  <c r="X139" i="1"/>
  <c r="J224" i="1"/>
  <c r="M224" i="1"/>
  <c r="I225" i="1" s="1"/>
  <c r="Z139" i="1" l="1"/>
  <c r="AA139" i="1" s="1"/>
  <c r="AW133" i="1"/>
  <c r="AE143" i="1"/>
  <c r="AF143" i="1"/>
  <c r="J225" i="1"/>
  <c r="M225" i="1"/>
  <c r="I226" i="1" s="1"/>
  <c r="AB139" i="1" l="1"/>
  <c r="U140" i="1" s="1"/>
  <c r="V140" i="1" s="1"/>
  <c r="AY133" i="1"/>
  <c r="AX133" i="1"/>
  <c r="AZ133" i="1" s="1"/>
  <c r="AS133" i="1"/>
  <c r="AM134" i="1"/>
  <c r="AO134" i="1" s="1"/>
  <c r="AH143" i="1"/>
  <c r="AG143" i="1"/>
  <c r="W140" i="1"/>
  <c r="M226" i="1"/>
  <c r="I227" i="1" s="1"/>
  <c r="J226" i="1"/>
  <c r="BA133" i="1" l="1"/>
  <c r="AP134" i="1"/>
  <c r="AQ134" i="1"/>
  <c r="AN134" i="1"/>
  <c r="AI143" i="1"/>
  <c r="Y140" i="1"/>
  <c r="X140" i="1"/>
  <c r="J227" i="1"/>
  <c r="M227" i="1"/>
  <c r="I228" i="1" s="1"/>
  <c r="BB133" i="1" l="1"/>
  <c r="AU134" i="1" s="1"/>
  <c r="BC134" i="1" s="1"/>
  <c r="AR134" i="1"/>
  <c r="Z140" i="1"/>
  <c r="AA140" i="1" s="1"/>
  <c r="AJ143" i="1"/>
  <c r="AK143" i="1"/>
  <c r="AD144" i="1" s="1"/>
  <c r="J228" i="1"/>
  <c r="M228" i="1"/>
  <c r="I229" i="1" s="1"/>
  <c r="AV134" i="1" l="1"/>
  <c r="AW134" i="1"/>
  <c r="AE144" i="1"/>
  <c r="AF144" i="1"/>
  <c r="AB140" i="1"/>
  <c r="U141" i="1" s="1"/>
  <c r="V141" i="1" s="1"/>
  <c r="J229" i="1"/>
  <c r="M229" i="1"/>
  <c r="I230" i="1" s="1"/>
  <c r="AY134" i="1" l="1"/>
  <c r="AX134" i="1"/>
  <c r="AS134" i="1"/>
  <c r="AM135" i="1"/>
  <c r="AO135" i="1" s="1"/>
  <c r="AH144" i="1"/>
  <c r="AG144" i="1"/>
  <c r="W141" i="1"/>
  <c r="M230" i="1"/>
  <c r="I231" i="1" s="1"/>
  <c r="J230" i="1"/>
  <c r="AZ134" i="1" l="1"/>
  <c r="AP135" i="1"/>
  <c r="AQ135" i="1"/>
  <c r="AN135" i="1"/>
  <c r="AI144" i="1"/>
  <c r="Y141" i="1"/>
  <c r="X141" i="1"/>
  <c r="J231" i="1"/>
  <c r="M231" i="1"/>
  <c r="I232" i="1" s="1"/>
  <c r="AR135" i="1" l="1"/>
  <c r="BA134" i="1"/>
  <c r="BB134" i="1"/>
  <c r="AU135" i="1" s="1"/>
  <c r="BC135" i="1" s="1"/>
  <c r="Z141" i="1"/>
  <c r="AA141" i="1" s="1"/>
  <c r="AJ144" i="1"/>
  <c r="AK144" i="1"/>
  <c r="AD145" i="1" s="1"/>
  <c r="J232" i="1"/>
  <c r="M232" i="1"/>
  <c r="I233" i="1" s="1"/>
  <c r="AV135" i="1" l="1"/>
  <c r="AW135" i="1"/>
  <c r="AE145" i="1"/>
  <c r="AF145" i="1"/>
  <c r="AB141" i="1"/>
  <c r="U142" i="1" s="1"/>
  <c r="V142" i="1" s="1"/>
  <c r="J233" i="1"/>
  <c r="M233" i="1"/>
  <c r="I234" i="1" s="1"/>
  <c r="AY135" i="1" l="1"/>
  <c r="AX135" i="1"/>
  <c r="AS135" i="1"/>
  <c r="AM136" i="1"/>
  <c r="AO136" i="1" s="1"/>
  <c r="AH145" i="1"/>
  <c r="AG145" i="1"/>
  <c r="W142" i="1"/>
  <c r="M234" i="1"/>
  <c r="I235" i="1" s="1"/>
  <c r="J234" i="1"/>
  <c r="AZ135" i="1" l="1"/>
  <c r="AP136" i="1"/>
  <c r="AQ136" i="1"/>
  <c r="AN136" i="1"/>
  <c r="AI145" i="1"/>
  <c r="Y142" i="1"/>
  <c r="X142" i="1"/>
  <c r="J235" i="1"/>
  <c r="M235" i="1"/>
  <c r="I236" i="1" s="1"/>
  <c r="AR136" i="1" l="1"/>
  <c r="BA135" i="1"/>
  <c r="BB135" i="1"/>
  <c r="AU136" i="1" s="1"/>
  <c r="BC136" i="1" s="1"/>
  <c r="Z142" i="1"/>
  <c r="AA142" i="1" s="1"/>
  <c r="AJ145" i="1"/>
  <c r="AK145" i="1"/>
  <c r="AD146" i="1" s="1"/>
  <c r="J236" i="1"/>
  <c r="M236" i="1"/>
  <c r="I237" i="1" s="1"/>
  <c r="AV136" i="1" l="1"/>
  <c r="AW136" i="1"/>
  <c r="AE146" i="1"/>
  <c r="AF146" i="1"/>
  <c r="AB142" i="1"/>
  <c r="U143" i="1" s="1"/>
  <c r="V143" i="1" s="1"/>
  <c r="J237" i="1"/>
  <c r="M237" i="1"/>
  <c r="I238" i="1" s="1"/>
  <c r="AY136" i="1" l="1"/>
  <c r="AX136" i="1"/>
  <c r="AZ136" i="1" s="1"/>
  <c r="AS136" i="1"/>
  <c r="AM137" i="1"/>
  <c r="AO137" i="1" s="1"/>
  <c r="AH146" i="1"/>
  <c r="AG146" i="1"/>
  <c r="AI146" i="1" s="1"/>
  <c r="W143" i="1"/>
  <c r="M238" i="1"/>
  <c r="I239" i="1" s="1"/>
  <c r="J238" i="1"/>
  <c r="AP137" i="1" l="1"/>
  <c r="AQ137" i="1"/>
  <c r="AN137" i="1"/>
  <c r="Y143" i="1"/>
  <c r="X143" i="1"/>
  <c r="J239" i="1"/>
  <c r="M239" i="1"/>
  <c r="I240" i="1" s="1"/>
  <c r="AR137" i="1" l="1"/>
  <c r="BA136" i="1"/>
  <c r="BB136" i="1"/>
  <c r="AU137" i="1" s="1"/>
  <c r="BC137" i="1" s="1"/>
  <c r="Z143" i="1"/>
  <c r="AA143" i="1" s="1"/>
  <c r="AJ146" i="1"/>
  <c r="AK146" i="1"/>
  <c r="AD147" i="1" s="1"/>
  <c r="J240" i="1"/>
  <c r="M240" i="1"/>
  <c r="I241" i="1" s="1"/>
  <c r="AV137" i="1" l="1"/>
  <c r="AW137" i="1"/>
  <c r="AE147" i="1"/>
  <c r="AF147" i="1"/>
  <c r="AB143" i="1"/>
  <c r="U144" i="1" s="1"/>
  <c r="V144" i="1" s="1"/>
  <c r="J241" i="1"/>
  <c r="M241" i="1"/>
  <c r="I242" i="1" s="1"/>
  <c r="AY137" i="1" l="1"/>
  <c r="AX137" i="1"/>
  <c r="AS137" i="1"/>
  <c r="AM138" i="1"/>
  <c r="AO138" i="1" s="1"/>
  <c r="AH147" i="1"/>
  <c r="AG147" i="1"/>
  <c r="W144" i="1"/>
  <c r="M242" i="1"/>
  <c r="I243" i="1" s="1"/>
  <c r="J242" i="1"/>
  <c r="AZ137" i="1" l="1"/>
  <c r="BA137" i="1" s="1"/>
  <c r="AP138" i="1"/>
  <c r="AQ138" i="1"/>
  <c r="AI147" i="1"/>
  <c r="AN138" i="1"/>
  <c r="Y144" i="1"/>
  <c r="X144" i="1"/>
  <c r="J243" i="1"/>
  <c r="M243" i="1"/>
  <c r="I244" i="1" s="1"/>
  <c r="BB137" i="1" l="1"/>
  <c r="AU138" i="1" s="1"/>
  <c r="BC138" i="1" s="1"/>
  <c r="AR138" i="1"/>
  <c r="Z144" i="1"/>
  <c r="AA144" i="1" s="1"/>
  <c r="AJ147" i="1"/>
  <c r="AK147" i="1"/>
  <c r="AD148" i="1" s="1"/>
  <c r="J244" i="1"/>
  <c r="M244" i="1"/>
  <c r="I245" i="1" s="1"/>
  <c r="AV138" i="1" l="1"/>
  <c r="AW138" i="1"/>
  <c r="AE148" i="1"/>
  <c r="AF148" i="1"/>
  <c r="AB144" i="1"/>
  <c r="U145" i="1" s="1"/>
  <c r="V145" i="1" s="1"/>
  <c r="J245" i="1"/>
  <c r="M245" i="1"/>
  <c r="I246" i="1" s="1"/>
  <c r="AY138" i="1" l="1"/>
  <c r="AX138" i="1"/>
  <c r="AS138" i="1"/>
  <c r="AM139" i="1"/>
  <c r="AO139" i="1" s="1"/>
  <c r="AH148" i="1"/>
  <c r="AG148" i="1"/>
  <c r="W145" i="1"/>
  <c r="M246" i="1"/>
  <c r="I247" i="1" s="1"/>
  <c r="J246" i="1"/>
  <c r="AZ138" i="1" l="1"/>
  <c r="AP139" i="1"/>
  <c r="AQ139" i="1"/>
  <c r="AN139" i="1"/>
  <c r="AI148" i="1"/>
  <c r="Y145" i="1"/>
  <c r="X145" i="1"/>
  <c r="M247" i="1"/>
  <c r="I248" i="1" s="1"/>
  <c r="J247" i="1"/>
  <c r="AR139" i="1" l="1"/>
  <c r="BA138" i="1"/>
  <c r="BB138" i="1"/>
  <c r="AU139" i="1" s="1"/>
  <c r="BC139" i="1" s="1"/>
  <c r="Z145" i="1"/>
  <c r="AA145" i="1" s="1"/>
  <c r="AJ148" i="1"/>
  <c r="AK148" i="1"/>
  <c r="AD149" i="1" s="1"/>
  <c r="M248" i="1"/>
  <c r="I249" i="1" s="1"/>
  <c r="J248" i="1"/>
  <c r="AV139" i="1" l="1"/>
  <c r="AW139" i="1"/>
  <c r="AE149" i="1"/>
  <c r="AF149" i="1"/>
  <c r="AB145" i="1"/>
  <c r="U146" i="1" s="1"/>
  <c r="V146" i="1" s="1"/>
  <c r="J249" i="1"/>
  <c r="M249" i="1"/>
  <c r="I250" i="1" s="1"/>
  <c r="AY139" i="1" l="1"/>
  <c r="AX139" i="1"/>
  <c r="AS139" i="1"/>
  <c r="AM140" i="1"/>
  <c r="AO140" i="1" s="1"/>
  <c r="AH149" i="1"/>
  <c r="AG149" i="1"/>
  <c r="W146" i="1"/>
  <c r="M250" i="1"/>
  <c r="I251" i="1" s="1"/>
  <c r="J250" i="1"/>
  <c r="AZ139" i="1" l="1"/>
  <c r="AP140" i="1"/>
  <c r="AQ140" i="1"/>
  <c r="AI149" i="1"/>
  <c r="AN140" i="1"/>
  <c r="Y146" i="1"/>
  <c r="X146" i="1"/>
  <c r="M251" i="1"/>
  <c r="I252" i="1" s="1"/>
  <c r="J251" i="1"/>
  <c r="AR140" i="1" l="1"/>
  <c r="BA139" i="1"/>
  <c r="BB139" i="1"/>
  <c r="AU140" i="1" s="1"/>
  <c r="BC140" i="1" s="1"/>
  <c r="Z146" i="1"/>
  <c r="AA146" i="1" s="1"/>
  <c r="AJ149" i="1"/>
  <c r="AK149" i="1"/>
  <c r="AD150" i="1" s="1"/>
  <c r="J252" i="1"/>
  <c r="M252" i="1"/>
  <c r="I253" i="1" s="1"/>
  <c r="AV140" i="1" l="1"/>
  <c r="AW140" i="1"/>
  <c r="AE150" i="1"/>
  <c r="AF150" i="1"/>
  <c r="AB146" i="1"/>
  <c r="U147" i="1" s="1"/>
  <c r="V147" i="1" s="1"/>
  <c r="J253" i="1"/>
  <c r="M253" i="1"/>
  <c r="I254" i="1" s="1"/>
  <c r="AY140" i="1" l="1"/>
  <c r="AX140" i="1"/>
  <c r="AS140" i="1"/>
  <c r="AM141" i="1"/>
  <c r="AO141" i="1" s="1"/>
  <c r="AH150" i="1"/>
  <c r="AG150" i="1"/>
  <c r="W147" i="1"/>
  <c r="M254" i="1"/>
  <c r="I255" i="1" s="1"/>
  <c r="J254" i="1"/>
  <c r="AZ140" i="1" l="1"/>
  <c r="AP141" i="1"/>
  <c r="AQ141" i="1"/>
  <c r="AN141" i="1"/>
  <c r="AI150" i="1"/>
  <c r="Y147" i="1"/>
  <c r="X147" i="1"/>
  <c r="M255" i="1"/>
  <c r="I256" i="1" s="1"/>
  <c r="J255" i="1"/>
  <c r="AR141" i="1" l="1"/>
  <c r="BA140" i="1"/>
  <c r="BB140" i="1"/>
  <c r="AU141" i="1" s="1"/>
  <c r="BC141" i="1" s="1"/>
  <c r="Z147" i="1"/>
  <c r="AA147" i="1" s="1"/>
  <c r="AJ150" i="1"/>
  <c r="AK150" i="1"/>
  <c r="AD151" i="1" s="1"/>
  <c r="J256" i="1"/>
  <c r="M256" i="1"/>
  <c r="I257" i="1" s="1"/>
  <c r="AV141" i="1" l="1"/>
  <c r="AW141" i="1"/>
  <c r="AB147" i="1"/>
  <c r="U148" i="1" s="1"/>
  <c r="V148" i="1" s="1"/>
  <c r="AE151" i="1"/>
  <c r="AF151" i="1"/>
  <c r="J257" i="1"/>
  <c r="M257" i="1"/>
  <c r="I258" i="1" s="1"/>
  <c r="AY141" i="1" l="1"/>
  <c r="AX141" i="1"/>
  <c r="W148" i="1"/>
  <c r="X148" i="1" s="1"/>
  <c r="AS141" i="1"/>
  <c r="AM142" i="1"/>
  <c r="AO142" i="1" s="1"/>
  <c r="AH151" i="1"/>
  <c r="AG151" i="1"/>
  <c r="M258" i="1"/>
  <c r="I259" i="1" s="1"/>
  <c r="J258" i="1"/>
  <c r="AZ141" i="1" l="1"/>
  <c r="Y148" i="1"/>
  <c r="Z148" i="1" s="1"/>
  <c r="AP142" i="1"/>
  <c r="AQ142" i="1"/>
  <c r="AI151" i="1"/>
  <c r="AN142" i="1"/>
  <c r="M259" i="1"/>
  <c r="I260" i="1" s="1"/>
  <c r="J259" i="1"/>
  <c r="AA148" i="1" l="1"/>
  <c r="AB148" i="1"/>
  <c r="U149" i="1" s="1"/>
  <c r="V149" i="1" s="1"/>
  <c r="AR142" i="1"/>
  <c r="BA141" i="1"/>
  <c r="BB141" i="1"/>
  <c r="AU142" i="1" s="1"/>
  <c r="BC142" i="1" s="1"/>
  <c r="AJ151" i="1"/>
  <c r="AK151" i="1"/>
  <c r="AD152" i="1" s="1"/>
  <c r="J260" i="1"/>
  <c r="M260" i="1"/>
  <c r="I261" i="1" s="1"/>
  <c r="W149" i="1" l="1"/>
  <c r="Y149" i="1" s="1"/>
  <c r="AV142" i="1"/>
  <c r="AW142" i="1"/>
  <c r="AE152" i="1"/>
  <c r="AF152" i="1"/>
  <c r="J261" i="1"/>
  <c r="M261" i="1"/>
  <c r="I262" i="1" s="1"/>
  <c r="X149" i="1" l="1"/>
  <c r="AY142" i="1"/>
  <c r="AX142" i="1"/>
  <c r="AZ142" i="1" s="1"/>
  <c r="Z149" i="1"/>
  <c r="AA149" i="1" s="1"/>
  <c r="AS142" i="1"/>
  <c r="AM143" i="1"/>
  <c r="AO143" i="1" s="1"/>
  <c r="AH152" i="1"/>
  <c r="AG152" i="1"/>
  <c r="M262" i="1"/>
  <c r="I263" i="1" s="1"/>
  <c r="J262" i="1"/>
  <c r="BA142" i="1" l="1"/>
  <c r="AP143" i="1"/>
  <c r="AQ143" i="1"/>
  <c r="AI152" i="1"/>
  <c r="AN143" i="1"/>
  <c r="AB149" i="1"/>
  <c r="U150" i="1" s="1"/>
  <c r="V150" i="1" s="1"/>
  <c r="M263" i="1"/>
  <c r="I264" i="1" s="1"/>
  <c r="J263" i="1"/>
  <c r="BB142" i="1" l="1"/>
  <c r="AU143" i="1" s="1"/>
  <c r="BC143" i="1" s="1"/>
  <c r="AR143" i="1"/>
  <c r="AJ152" i="1"/>
  <c r="AK152" i="1"/>
  <c r="AD153" i="1" s="1"/>
  <c r="W150" i="1"/>
  <c r="J264" i="1"/>
  <c r="M264" i="1"/>
  <c r="I265" i="1" s="1"/>
  <c r="AV143" i="1" l="1"/>
  <c r="AW143" i="1"/>
  <c r="AE153" i="1"/>
  <c r="AF153" i="1"/>
  <c r="Y150" i="1"/>
  <c r="X150" i="1"/>
  <c r="J265" i="1"/>
  <c r="M265" i="1"/>
  <c r="I266" i="1" s="1"/>
  <c r="AY143" i="1" l="1"/>
  <c r="AX143" i="1"/>
  <c r="AS143" i="1"/>
  <c r="AM144" i="1"/>
  <c r="AO144" i="1" s="1"/>
  <c r="Z150" i="1"/>
  <c r="AA150" i="1" s="1"/>
  <c r="AH153" i="1"/>
  <c r="AG153" i="1"/>
  <c r="M266" i="1"/>
  <c r="I267" i="1" s="1"/>
  <c r="J266" i="1"/>
  <c r="AZ143" i="1" l="1"/>
  <c r="AP144" i="1"/>
  <c r="AQ144" i="1"/>
  <c r="AI153" i="1"/>
  <c r="AN144" i="1"/>
  <c r="AB150" i="1"/>
  <c r="U151" i="1" s="1"/>
  <c r="V151" i="1" s="1"/>
  <c r="M267" i="1"/>
  <c r="I268" i="1" s="1"/>
  <c r="J267" i="1"/>
  <c r="AR144" i="1" l="1"/>
  <c r="BA143" i="1"/>
  <c r="BB143" i="1"/>
  <c r="AU144" i="1" s="1"/>
  <c r="BC144" i="1" s="1"/>
  <c r="AJ153" i="1"/>
  <c r="AK153" i="1"/>
  <c r="AD154" i="1" s="1"/>
  <c r="W151" i="1"/>
  <c r="J268" i="1"/>
  <c r="M268" i="1"/>
  <c r="I269" i="1" s="1"/>
  <c r="AV144" i="1" l="1"/>
  <c r="AW144" i="1"/>
  <c r="Y151" i="1"/>
  <c r="AE154" i="1"/>
  <c r="AF154" i="1"/>
  <c r="X151" i="1"/>
  <c r="J269" i="1"/>
  <c r="M269" i="1"/>
  <c r="I270" i="1" s="1"/>
  <c r="AY144" i="1" l="1"/>
  <c r="AX144" i="1"/>
  <c r="Z151" i="1"/>
  <c r="AB151" i="1" s="1"/>
  <c r="U152" i="1" s="1"/>
  <c r="V152" i="1" s="1"/>
  <c r="AS144" i="1"/>
  <c r="AM145" i="1"/>
  <c r="AO145" i="1" s="1"/>
  <c r="AH154" i="1"/>
  <c r="AG154" i="1"/>
  <c r="M270" i="1"/>
  <c r="I271" i="1" s="1"/>
  <c r="J270" i="1"/>
  <c r="AZ144" i="1" l="1"/>
  <c r="BA144" i="1" s="1"/>
  <c r="AP145" i="1"/>
  <c r="AQ145" i="1"/>
  <c r="AA151" i="1"/>
  <c r="AI154" i="1"/>
  <c r="AN145" i="1"/>
  <c r="W152" i="1"/>
  <c r="M271" i="1"/>
  <c r="I272" i="1" s="1"/>
  <c r="J271" i="1"/>
  <c r="BB144" i="1" l="1"/>
  <c r="AU145" i="1" s="1"/>
  <c r="BC145" i="1" s="1"/>
  <c r="AR145" i="1"/>
  <c r="AJ154" i="1"/>
  <c r="AK154" i="1"/>
  <c r="AD155" i="1" s="1"/>
  <c r="Y152" i="1"/>
  <c r="X152" i="1"/>
  <c r="J272" i="1"/>
  <c r="M272" i="1"/>
  <c r="I273" i="1" s="1"/>
  <c r="AV145" i="1" l="1"/>
  <c r="AW145" i="1"/>
  <c r="Z152" i="1"/>
  <c r="AA152" i="1" s="1"/>
  <c r="AE155" i="1"/>
  <c r="AF155" i="1"/>
  <c r="J273" i="1"/>
  <c r="M273" i="1"/>
  <c r="I274" i="1" s="1"/>
  <c r="AY145" i="1" l="1"/>
  <c r="AX145" i="1"/>
  <c r="AZ145" i="1" s="1"/>
  <c r="AS145" i="1"/>
  <c r="AM146" i="1"/>
  <c r="AO146" i="1" s="1"/>
  <c r="AH155" i="1"/>
  <c r="AG155" i="1"/>
  <c r="AB152" i="1"/>
  <c r="U153" i="1" s="1"/>
  <c r="V153" i="1" s="1"/>
  <c r="M274" i="1"/>
  <c r="I275" i="1" s="1"/>
  <c r="J274" i="1"/>
  <c r="AP146" i="1" l="1"/>
  <c r="AQ146" i="1"/>
  <c r="AN146" i="1"/>
  <c r="AI155" i="1"/>
  <c r="W153" i="1"/>
  <c r="M275" i="1"/>
  <c r="I276" i="1" s="1"/>
  <c r="J275" i="1"/>
  <c r="AR146" i="1" l="1"/>
  <c r="BA145" i="1"/>
  <c r="BB145" i="1"/>
  <c r="AU146" i="1" s="1"/>
  <c r="BC146" i="1" s="1"/>
  <c r="AJ155" i="1"/>
  <c r="AK155" i="1"/>
  <c r="AD156" i="1" s="1"/>
  <c r="Y153" i="1"/>
  <c r="X153" i="1"/>
  <c r="J276" i="1"/>
  <c r="M276" i="1"/>
  <c r="I277" i="1" s="1"/>
  <c r="AV146" i="1" l="1"/>
  <c r="AW146" i="1"/>
  <c r="Z153" i="1"/>
  <c r="AA153" i="1" s="1"/>
  <c r="AE156" i="1"/>
  <c r="AF156" i="1"/>
  <c r="J277" i="1"/>
  <c r="M277" i="1"/>
  <c r="I278" i="1" s="1"/>
  <c r="AY146" i="1" l="1"/>
  <c r="AX146" i="1"/>
  <c r="AS146" i="1"/>
  <c r="AM147" i="1"/>
  <c r="AO147" i="1" s="1"/>
  <c r="AH156" i="1"/>
  <c r="AG156" i="1"/>
  <c r="AB153" i="1"/>
  <c r="U154" i="1" s="1"/>
  <c r="V154" i="1" s="1"/>
  <c r="M278" i="1"/>
  <c r="I279" i="1" s="1"/>
  <c r="J278" i="1"/>
  <c r="AZ146" i="1" l="1"/>
  <c r="BA146" i="1" s="1"/>
  <c r="AP147" i="1"/>
  <c r="AQ147" i="1"/>
  <c r="AN147" i="1"/>
  <c r="AI156" i="1"/>
  <c r="W154" i="1"/>
  <c r="M279" i="1"/>
  <c r="I280" i="1" s="1"/>
  <c r="J279" i="1"/>
  <c r="BB146" i="1" l="1"/>
  <c r="AU147" i="1" s="1"/>
  <c r="BC147" i="1" s="1"/>
  <c r="AR147" i="1"/>
  <c r="AJ156" i="1"/>
  <c r="AK156" i="1"/>
  <c r="AD157" i="1" s="1"/>
  <c r="Y154" i="1"/>
  <c r="X154" i="1"/>
  <c r="J280" i="1"/>
  <c r="M280" i="1"/>
  <c r="I281" i="1" s="1"/>
  <c r="AV147" i="1" l="1"/>
  <c r="Z154" i="1"/>
  <c r="AA154" i="1" s="1"/>
  <c r="AW147" i="1"/>
  <c r="AE157" i="1"/>
  <c r="AF157" i="1"/>
  <c r="J281" i="1"/>
  <c r="M281" i="1"/>
  <c r="I282" i="1" s="1"/>
  <c r="AY147" i="1" l="1"/>
  <c r="AX147" i="1"/>
  <c r="AS147" i="1"/>
  <c r="AM148" i="1"/>
  <c r="AO148" i="1" s="1"/>
  <c r="AH157" i="1"/>
  <c r="AG157" i="1"/>
  <c r="AB154" i="1"/>
  <c r="U155" i="1" s="1"/>
  <c r="V155" i="1" s="1"/>
  <c r="M282" i="1"/>
  <c r="I283" i="1" s="1"/>
  <c r="J282" i="1"/>
  <c r="AZ147" i="1" l="1"/>
  <c r="AP148" i="1"/>
  <c r="AQ148" i="1"/>
  <c r="AN148" i="1"/>
  <c r="AI157" i="1"/>
  <c r="W155" i="1"/>
  <c r="M283" i="1"/>
  <c r="I284" i="1" s="1"/>
  <c r="J283" i="1"/>
  <c r="AR148" i="1" l="1"/>
  <c r="BA147" i="1"/>
  <c r="BB147" i="1"/>
  <c r="AU148" i="1" s="1"/>
  <c r="BC148" i="1" s="1"/>
  <c r="AJ157" i="1"/>
  <c r="AK157" i="1"/>
  <c r="AD158" i="1" s="1"/>
  <c r="Y155" i="1"/>
  <c r="X155" i="1"/>
  <c r="J284" i="1"/>
  <c r="M284" i="1"/>
  <c r="I285" i="1" s="1"/>
  <c r="AV148" i="1" l="1"/>
  <c r="AW148" i="1"/>
  <c r="Z155" i="1"/>
  <c r="AA155" i="1" s="1"/>
  <c r="AE158" i="1"/>
  <c r="AF158" i="1"/>
  <c r="J285" i="1"/>
  <c r="M285" i="1"/>
  <c r="I286" i="1" s="1"/>
  <c r="AY148" i="1" l="1"/>
  <c r="AX148" i="1"/>
  <c r="AZ148" i="1" s="1"/>
  <c r="AS148" i="1"/>
  <c r="AM149" i="1"/>
  <c r="AO149" i="1" s="1"/>
  <c r="AH158" i="1"/>
  <c r="AG158" i="1"/>
  <c r="AB155" i="1"/>
  <c r="U156" i="1" s="1"/>
  <c r="V156" i="1" s="1"/>
  <c r="M286" i="1"/>
  <c r="I287" i="1" s="1"/>
  <c r="J286" i="1"/>
  <c r="AP149" i="1" l="1"/>
  <c r="AQ149" i="1"/>
  <c r="AN149" i="1"/>
  <c r="AI158" i="1"/>
  <c r="W156" i="1"/>
  <c r="M287" i="1"/>
  <c r="I288" i="1" s="1"/>
  <c r="J287" i="1"/>
  <c r="AR149" i="1" l="1"/>
  <c r="BA148" i="1"/>
  <c r="BB148" i="1"/>
  <c r="AU149" i="1" s="1"/>
  <c r="BC149" i="1" s="1"/>
  <c r="AJ158" i="1"/>
  <c r="AK158" i="1"/>
  <c r="AD159" i="1" s="1"/>
  <c r="Y156" i="1"/>
  <c r="X156" i="1"/>
  <c r="J288" i="1"/>
  <c r="M288" i="1"/>
  <c r="I289" i="1" s="1"/>
  <c r="AV149" i="1" l="1"/>
  <c r="AW149" i="1"/>
  <c r="Z156" i="1"/>
  <c r="AA156" i="1" s="1"/>
  <c r="AE159" i="1"/>
  <c r="AF159" i="1"/>
  <c r="J289" i="1"/>
  <c r="M289" i="1"/>
  <c r="I290" i="1" s="1"/>
  <c r="AY149" i="1" l="1"/>
  <c r="AX149" i="1"/>
  <c r="AS149" i="1"/>
  <c r="AM150" i="1"/>
  <c r="AO150" i="1" s="1"/>
  <c r="AH159" i="1"/>
  <c r="AG159" i="1"/>
  <c r="AB156" i="1"/>
  <c r="U157" i="1" s="1"/>
  <c r="V157" i="1" s="1"/>
  <c r="M290" i="1"/>
  <c r="I291" i="1" s="1"/>
  <c r="J290" i="1"/>
  <c r="AZ149" i="1" l="1"/>
  <c r="AP150" i="1"/>
  <c r="AQ150" i="1"/>
  <c r="AN150" i="1"/>
  <c r="AI159" i="1"/>
  <c r="W157" i="1"/>
  <c r="M291" i="1"/>
  <c r="I292" i="1" s="1"/>
  <c r="J291" i="1"/>
  <c r="AR150" i="1" l="1"/>
  <c r="BA149" i="1"/>
  <c r="BB149" i="1"/>
  <c r="AU150" i="1" s="1"/>
  <c r="BC150" i="1" s="1"/>
  <c r="AJ159" i="1"/>
  <c r="AK159" i="1"/>
  <c r="AD160" i="1" s="1"/>
  <c r="Y157" i="1"/>
  <c r="X157" i="1"/>
  <c r="Z157" i="1" s="1"/>
  <c r="J292" i="1"/>
  <c r="M292" i="1"/>
  <c r="I293" i="1" s="1"/>
  <c r="AV150" i="1" l="1"/>
  <c r="AW150" i="1"/>
  <c r="AE160" i="1"/>
  <c r="AF160" i="1"/>
  <c r="AA157" i="1"/>
  <c r="J293" i="1"/>
  <c r="M293" i="1"/>
  <c r="I294" i="1" s="1"/>
  <c r="AY150" i="1" l="1"/>
  <c r="AX150" i="1"/>
  <c r="AS150" i="1"/>
  <c r="AM151" i="1"/>
  <c r="AO151" i="1" s="1"/>
  <c r="AH160" i="1"/>
  <c r="AG160" i="1"/>
  <c r="AB157" i="1"/>
  <c r="U158" i="1" s="1"/>
  <c r="V158" i="1" s="1"/>
  <c r="J294" i="1"/>
  <c r="M294" i="1"/>
  <c r="I295" i="1" s="1"/>
  <c r="AZ150" i="1" l="1"/>
  <c r="AP151" i="1"/>
  <c r="AQ151" i="1"/>
  <c r="AN151" i="1"/>
  <c r="AI160" i="1"/>
  <c r="W158" i="1"/>
  <c r="M295" i="1"/>
  <c r="I296" i="1" s="1"/>
  <c r="J295" i="1"/>
  <c r="AR151" i="1" l="1"/>
  <c r="BA150" i="1"/>
  <c r="BB150" i="1"/>
  <c r="AU151" i="1" s="1"/>
  <c r="BC151" i="1" s="1"/>
  <c r="AJ160" i="1"/>
  <c r="AK160" i="1"/>
  <c r="AD161" i="1" s="1"/>
  <c r="Y158" i="1"/>
  <c r="X158" i="1"/>
  <c r="J296" i="1"/>
  <c r="M296" i="1"/>
  <c r="I297" i="1" s="1"/>
  <c r="AV151" i="1" l="1"/>
  <c r="Z158" i="1"/>
  <c r="AW151" i="1"/>
  <c r="AE161" i="1"/>
  <c r="AF161" i="1"/>
  <c r="AA158" i="1"/>
  <c r="J297" i="1"/>
  <c r="M297" i="1"/>
  <c r="I298" i="1" s="1"/>
  <c r="AY151" i="1" l="1"/>
  <c r="AX151" i="1"/>
  <c r="AS151" i="1"/>
  <c r="AM152" i="1"/>
  <c r="AO152" i="1" s="1"/>
  <c r="AH161" i="1"/>
  <c r="AG161" i="1"/>
  <c r="AB158" i="1"/>
  <c r="U159" i="1" s="1"/>
  <c r="V159" i="1" s="1"/>
  <c r="M298" i="1"/>
  <c r="I299" i="1" s="1"/>
  <c r="J298" i="1"/>
  <c r="AZ151" i="1" l="1"/>
  <c r="AP152" i="1"/>
  <c r="AQ152" i="1"/>
  <c r="AN152" i="1"/>
  <c r="AI161" i="1"/>
  <c r="W159" i="1"/>
  <c r="M299" i="1"/>
  <c r="I300" i="1" s="1"/>
  <c r="J299" i="1"/>
  <c r="AR152" i="1" l="1"/>
  <c r="BA151" i="1"/>
  <c r="BB151" i="1"/>
  <c r="AU152" i="1" s="1"/>
  <c r="BC152" i="1" s="1"/>
  <c r="AJ161" i="1"/>
  <c r="AK161" i="1"/>
  <c r="AD162" i="1" s="1"/>
  <c r="Y159" i="1"/>
  <c r="X159" i="1"/>
  <c r="J300" i="1"/>
  <c r="M300" i="1"/>
  <c r="I301" i="1" s="1"/>
  <c r="AV152" i="1" l="1"/>
  <c r="Z159" i="1"/>
  <c r="AA159" i="1" s="1"/>
  <c r="AW152" i="1"/>
  <c r="AE162" i="1"/>
  <c r="AF162" i="1"/>
  <c r="J301" i="1"/>
  <c r="M301" i="1"/>
  <c r="I302" i="1" s="1"/>
  <c r="AY152" i="1" l="1"/>
  <c r="AX152" i="1"/>
  <c r="AS152" i="1"/>
  <c r="AM153" i="1"/>
  <c r="AO153" i="1" s="1"/>
  <c r="AH162" i="1"/>
  <c r="AG162" i="1"/>
  <c r="AB159" i="1"/>
  <c r="U160" i="1" s="1"/>
  <c r="V160" i="1" s="1"/>
  <c r="J302" i="1"/>
  <c r="M302" i="1"/>
  <c r="AZ152" i="1" l="1"/>
  <c r="AP153" i="1"/>
  <c r="AQ153" i="1"/>
  <c r="AI162" i="1"/>
  <c r="AN153" i="1"/>
  <c r="W160" i="1"/>
  <c r="AR153" i="1" l="1"/>
  <c r="BA152" i="1"/>
  <c r="BB152" i="1"/>
  <c r="AU153" i="1" s="1"/>
  <c r="BC153" i="1" s="1"/>
  <c r="AJ162" i="1"/>
  <c r="AK162" i="1"/>
  <c r="AD163" i="1" s="1"/>
  <c r="Y160" i="1"/>
  <c r="X160" i="1"/>
  <c r="Z160" i="1" s="1"/>
  <c r="AV153" i="1" l="1"/>
  <c r="AW153" i="1"/>
  <c r="AE163" i="1"/>
  <c r="AF163" i="1"/>
  <c r="AA160" i="1"/>
  <c r="AY153" i="1" l="1"/>
  <c r="AX153" i="1"/>
  <c r="AS153" i="1"/>
  <c r="AM154" i="1"/>
  <c r="AO154" i="1" s="1"/>
  <c r="AH163" i="1"/>
  <c r="AG163" i="1"/>
  <c r="AI163" i="1" s="1"/>
  <c r="AB160" i="1"/>
  <c r="U161" i="1" s="1"/>
  <c r="V161" i="1" s="1"/>
  <c r="AZ153" i="1" l="1"/>
  <c r="AP154" i="1"/>
  <c r="AQ154" i="1"/>
  <c r="AN154" i="1"/>
  <c r="W161" i="1"/>
  <c r="X161" i="1" s="1"/>
  <c r="AR154" i="1" l="1"/>
  <c r="BA153" i="1"/>
  <c r="BB153" i="1"/>
  <c r="AU154" i="1" s="1"/>
  <c r="BC154" i="1" s="1"/>
  <c r="Y161" i="1"/>
  <c r="Z161" i="1" s="1"/>
  <c r="AA161" i="1" s="1"/>
  <c r="AJ163" i="1"/>
  <c r="AK163" i="1"/>
  <c r="AD164" i="1" s="1"/>
  <c r="AV154" i="1" l="1"/>
  <c r="AW154" i="1"/>
  <c r="AE164" i="1"/>
  <c r="AF164" i="1"/>
  <c r="AB161" i="1"/>
  <c r="U162" i="1" s="1"/>
  <c r="V162" i="1" s="1"/>
  <c r="AY154" i="1" l="1"/>
  <c r="AX154" i="1"/>
  <c r="AS154" i="1"/>
  <c r="AM155" i="1"/>
  <c r="AO155" i="1" s="1"/>
  <c r="AH164" i="1"/>
  <c r="AG164" i="1"/>
  <c r="W162" i="1"/>
  <c r="AZ154" i="1" l="1"/>
  <c r="BB154" i="1" s="1"/>
  <c r="AU155" i="1" s="1"/>
  <c r="BC155" i="1" s="1"/>
  <c r="AP155" i="1"/>
  <c r="AQ155" i="1"/>
  <c r="AN155" i="1"/>
  <c r="AI164" i="1"/>
  <c r="Y162" i="1"/>
  <c r="X162" i="1"/>
  <c r="AR155" i="1" l="1"/>
  <c r="BA154" i="1"/>
  <c r="AV155" i="1"/>
  <c r="Z162" i="1"/>
  <c r="AA162" i="1" s="1"/>
  <c r="AJ164" i="1"/>
  <c r="AK164" i="1"/>
  <c r="AD165" i="1" s="1"/>
  <c r="AW155" i="1" l="1"/>
  <c r="AE165" i="1"/>
  <c r="AF165" i="1"/>
  <c r="AB162" i="1"/>
  <c r="U163" i="1" s="1"/>
  <c r="V163" i="1" s="1"/>
  <c r="AY155" i="1" l="1"/>
  <c r="AX155" i="1"/>
  <c r="AS155" i="1"/>
  <c r="AM156" i="1"/>
  <c r="AO156" i="1" s="1"/>
  <c r="AH165" i="1"/>
  <c r="AG165" i="1"/>
  <c r="W163" i="1"/>
  <c r="X163" i="1" s="1"/>
  <c r="AZ155" i="1" l="1"/>
  <c r="AP156" i="1"/>
  <c r="AQ156" i="1"/>
  <c r="AN156" i="1"/>
  <c r="AI165" i="1"/>
  <c r="Y163" i="1"/>
  <c r="Z163" i="1" s="1"/>
  <c r="AA163" i="1" s="1"/>
  <c r="AR156" i="1" l="1"/>
  <c r="BA155" i="1"/>
  <c r="BB155" i="1"/>
  <c r="AU156" i="1" s="1"/>
  <c r="BC156" i="1" s="1"/>
  <c r="AJ165" i="1"/>
  <c r="AK165" i="1"/>
  <c r="AD166" i="1" s="1"/>
  <c r="AB163" i="1"/>
  <c r="U164" i="1" s="1"/>
  <c r="V164" i="1" s="1"/>
  <c r="AV156" i="1" l="1"/>
  <c r="AW156" i="1"/>
  <c r="AE166" i="1"/>
  <c r="AF166" i="1"/>
  <c r="W164" i="1"/>
  <c r="AY156" i="1" l="1"/>
  <c r="AX156" i="1"/>
  <c r="AS156" i="1"/>
  <c r="AM157" i="1"/>
  <c r="AO157" i="1" s="1"/>
  <c r="X164" i="1"/>
  <c r="Y164" i="1"/>
  <c r="Z164" i="1" s="1"/>
  <c r="AA164" i="1" s="1"/>
  <c r="AH166" i="1"/>
  <c r="AG166" i="1"/>
  <c r="AZ156" i="1" l="1"/>
  <c r="AP157" i="1"/>
  <c r="AQ157" i="1"/>
  <c r="AI166" i="1"/>
  <c r="AN157" i="1"/>
  <c r="AB164" i="1"/>
  <c r="U165" i="1" s="1"/>
  <c r="V165" i="1" s="1"/>
  <c r="AR157" i="1" l="1"/>
  <c r="BA156" i="1"/>
  <c r="BB156" i="1"/>
  <c r="AU157" i="1" s="1"/>
  <c r="BC157" i="1" s="1"/>
  <c r="AJ166" i="1"/>
  <c r="AK166" i="1"/>
  <c r="AD167" i="1" s="1"/>
  <c r="W165" i="1"/>
  <c r="AV157" i="1" l="1"/>
  <c r="AW157" i="1"/>
  <c r="X165" i="1"/>
  <c r="Y165" i="1"/>
  <c r="AF167" i="1"/>
  <c r="AE167" i="1"/>
  <c r="AY157" i="1" l="1"/>
  <c r="AX157" i="1"/>
  <c r="Z165" i="1"/>
  <c r="AA165" i="1" s="1"/>
  <c r="AS157" i="1"/>
  <c r="AM158" i="1"/>
  <c r="AO158" i="1" s="1"/>
  <c r="AH167" i="1"/>
  <c r="AG167" i="1"/>
  <c r="AZ157" i="1" l="1"/>
  <c r="BA157" i="1" s="1"/>
  <c r="AB165" i="1"/>
  <c r="U166" i="1" s="1"/>
  <c r="V166" i="1" s="1"/>
  <c r="AP158" i="1"/>
  <c r="AQ158" i="1"/>
  <c r="AI167" i="1"/>
  <c r="AN158" i="1"/>
  <c r="AR158" i="1" l="1"/>
  <c r="W166" i="1"/>
  <c r="Y166" i="1" s="1"/>
  <c r="BB157" i="1"/>
  <c r="AU158" i="1" s="1"/>
  <c r="AJ167" i="1"/>
  <c r="AK167" i="1"/>
  <c r="AD168" i="1" s="1"/>
  <c r="X166" i="1" l="1"/>
  <c r="Z166" i="1" s="1"/>
  <c r="AB166" i="1" s="1"/>
  <c r="U167" i="1" s="1"/>
  <c r="V167" i="1" s="1"/>
  <c r="AV158" i="1"/>
  <c r="BC158" i="1"/>
  <c r="AW158" i="1"/>
  <c r="AF168" i="1"/>
  <c r="AE168" i="1"/>
  <c r="AA166" i="1" l="1"/>
  <c r="W167" i="1"/>
  <c r="Y167" i="1" s="1"/>
  <c r="AY158" i="1"/>
  <c r="AX158" i="1"/>
  <c r="AS158" i="1"/>
  <c r="AM159" i="1"/>
  <c r="AO159" i="1" s="1"/>
  <c r="AH168" i="1"/>
  <c r="AG168" i="1"/>
  <c r="X167" i="1" l="1"/>
  <c r="AZ158" i="1"/>
  <c r="AP159" i="1"/>
  <c r="AQ159" i="1"/>
  <c r="Z167" i="1"/>
  <c r="AB167" i="1" s="1"/>
  <c r="U168" i="1" s="1"/>
  <c r="V168" i="1" s="1"/>
  <c r="AI168" i="1"/>
  <c r="AN159" i="1"/>
  <c r="AR159" i="1" l="1"/>
  <c r="BA158" i="1"/>
  <c r="BB158" i="1"/>
  <c r="AU159" i="1" s="1"/>
  <c r="BC159" i="1" s="1"/>
  <c r="AJ168" i="1"/>
  <c r="AK168" i="1"/>
  <c r="AD169" i="1" s="1"/>
  <c r="AA167" i="1"/>
  <c r="W168" i="1"/>
  <c r="AV159" i="1" l="1"/>
  <c r="AW159" i="1"/>
  <c r="AF169" i="1"/>
  <c r="AE169" i="1"/>
  <c r="X168" i="1"/>
  <c r="Y168" i="1"/>
  <c r="AY159" i="1" l="1"/>
  <c r="AX159" i="1"/>
  <c r="AS159" i="1"/>
  <c r="AM160" i="1"/>
  <c r="AO160" i="1" s="1"/>
  <c r="Z168" i="1"/>
  <c r="AA168" i="1" s="1"/>
  <c r="AH169" i="1"/>
  <c r="AG169" i="1"/>
  <c r="AZ159" i="1" l="1"/>
  <c r="AP160" i="1"/>
  <c r="AQ160" i="1"/>
  <c r="AI169" i="1"/>
  <c r="AN160" i="1"/>
  <c r="AB168" i="1"/>
  <c r="U169" i="1" s="1"/>
  <c r="V169" i="1" s="1"/>
  <c r="AR160" i="1" l="1"/>
  <c r="BA159" i="1"/>
  <c r="BB159" i="1"/>
  <c r="AU160" i="1" s="1"/>
  <c r="BC160" i="1" s="1"/>
  <c r="AJ169" i="1"/>
  <c r="AK169" i="1"/>
  <c r="AD170" i="1" s="1"/>
  <c r="W169" i="1"/>
  <c r="X169" i="1" s="1"/>
  <c r="AV160" i="1" l="1"/>
  <c r="AW160" i="1"/>
  <c r="Y169" i="1"/>
  <c r="Z169" i="1" s="1"/>
  <c r="AA169" i="1" s="1"/>
  <c r="AF170" i="1"/>
  <c r="AE170" i="1"/>
  <c r="AY160" i="1" l="1"/>
  <c r="AX160" i="1"/>
  <c r="AS160" i="1"/>
  <c r="AM161" i="1"/>
  <c r="AO161" i="1" s="1"/>
  <c r="AH170" i="1"/>
  <c r="AG170" i="1"/>
  <c r="AB169" i="1"/>
  <c r="U170" i="1" s="1"/>
  <c r="V170" i="1" s="1"/>
  <c r="AZ160" i="1" l="1"/>
  <c r="BB160" i="1" s="1"/>
  <c r="AU161" i="1" s="1"/>
  <c r="BC161" i="1" s="1"/>
  <c r="AP161" i="1"/>
  <c r="AQ161" i="1"/>
  <c r="AN161" i="1"/>
  <c r="AI170" i="1"/>
  <c r="W170" i="1"/>
  <c r="Y170" i="1" s="1"/>
  <c r="AR161" i="1" l="1"/>
  <c r="BA160" i="1"/>
  <c r="AV161" i="1"/>
  <c r="X170" i="1"/>
  <c r="Z170" i="1" s="1"/>
  <c r="AA170" i="1" s="1"/>
  <c r="AJ170" i="1"/>
  <c r="AK170" i="1"/>
  <c r="AD171" i="1" s="1"/>
  <c r="AW161" i="1" l="1"/>
  <c r="AF171" i="1"/>
  <c r="AE171" i="1"/>
  <c r="AB170" i="1"/>
  <c r="U171" i="1" s="1"/>
  <c r="V171" i="1" s="1"/>
  <c r="AY161" i="1" l="1"/>
  <c r="AX161" i="1"/>
  <c r="AS161" i="1"/>
  <c r="AM162" i="1"/>
  <c r="AO162" i="1" s="1"/>
  <c r="AH171" i="1"/>
  <c r="AG171" i="1"/>
  <c r="AI171" i="1" s="1"/>
  <c r="W171" i="1"/>
  <c r="AZ161" i="1" l="1"/>
  <c r="BB161" i="1" s="1"/>
  <c r="AU162" i="1" s="1"/>
  <c r="BC162" i="1" s="1"/>
  <c r="AP162" i="1"/>
  <c r="AQ162" i="1"/>
  <c r="AN162" i="1"/>
  <c r="Y171" i="1"/>
  <c r="X171" i="1"/>
  <c r="AR162" i="1" l="1"/>
  <c r="BA161" i="1"/>
  <c r="AV162" i="1"/>
  <c r="Z171" i="1"/>
  <c r="AA171" i="1" s="1"/>
  <c r="AJ171" i="1"/>
  <c r="AK171" i="1"/>
  <c r="AD172" i="1" s="1"/>
  <c r="AW162" i="1" l="1"/>
  <c r="AB171" i="1"/>
  <c r="U172" i="1" s="1"/>
  <c r="AF172" i="1"/>
  <c r="AE172" i="1"/>
  <c r="AY162" i="1" l="1"/>
  <c r="AX162" i="1"/>
  <c r="AZ162" i="1" s="1"/>
  <c r="AS162" i="1"/>
  <c r="AM163" i="1"/>
  <c r="AO163" i="1" s="1"/>
  <c r="V172" i="1"/>
  <c r="W172" i="1"/>
  <c r="AH172" i="1"/>
  <c r="AG172" i="1"/>
  <c r="AP163" i="1" l="1"/>
  <c r="AQ163" i="1"/>
  <c r="AI172" i="1"/>
  <c r="AN163" i="1"/>
  <c r="Y172" i="1"/>
  <c r="X172" i="1"/>
  <c r="AR163" i="1" l="1"/>
  <c r="BA162" i="1"/>
  <c r="BB162" i="1"/>
  <c r="AU163" i="1" s="1"/>
  <c r="BC163" i="1" s="1"/>
  <c r="Z172" i="1"/>
  <c r="AB172" i="1" s="1"/>
  <c r="U173" i="1" s="1"/>
  <c r="AJ172" i="1"/>
  <c r="AK172" i="1"/>
  <c r="AD173" i="1" s="1"/>
  <c r="AV163" i="1" l="1"/>
  <c r="AW163" i="1"/>
  <c r="V173" i="1"/>
  <c r="W173" i="1"/>
  <c r="AA172" i="1"/>
  <c r="AF173" i="1"/>
  <c r="AE173" i="1"/>
  <c r="AY163" i="1" l="1"/>
  <c r="AX163" i="1"/>
  <c r="AS163" i="1"/>
  <c r="AM164" i="1"/>
  <c r="AO164" i="1" s="1"/>
  <c r="Y173" i="1"/>
  <c r="X173" i="1"/>
  <c r="AH173" i="1"/>
  <c r="AG173" i="1"/>
  <c r="AZ163" i="1" l="1"/>
  <c r="BB163" i="1" s="1"/>
  <c r="AU164" i="1" s="1"/>
  <c r="BC164" i="1" s="1"/>
  <c r="AP164" i="1"/>
  <c r="AQ164" i="1"/>
  <c r="AI173" i="1"/>
  <c r="AN164" i="1"/>
  <c r="Z173" i="1"/>
  <c r="AB173" i="1" s="1"/>
  <c r="U174" i="1" s="1"/>
  <c r="AR164" i="1" l="1"/>
  <c r="BA163" i="1"/>
  <c r="AV164" i="1"/>
  <c r="V174" i="1"/>
  <c r="W174" i="1"/>
  <c r="AA173" i="1"/>
  <c r="AJ173" i="1"/>
  <c r="AK173" i="1"/>
  <c r="AD174" i="1" s="1"/>
  <c r="AW164" i="1" l="1"/>
  <c r="X174" i="1"/>
  <c r="Y174" i="1"/>
  <c r="AF174" i="1"/>
  <c r="AE174" i="1"/>
  <c r="AY164" i="1" l="1"/>
  <c r="AX164" i="1"/>
  <c r="AZ164" i="1" s="1"/>
  <c r="AS164" i="1"/>
  <c r="AM165" i="1"/>
  <c r="AO165" i="1" s="1"/>
  <c r="Z174" i="1"/>
  <c r="AB174" i="1" s="1"/>
  <c r="U175" i="1" s="1"/>
  <c r="AH174" i="1"/>
  <c r="AG174" i="1"/>
  <c r="BB164" i="1" l="1"/>
  <c r="AU165" i="1" s="1"/>
  <c r="BC165" i="1" s="1"/>
  <c r="AP165" i="1"/>
  <c r="AQ165" i="1"/>
  <c r="AA174" i="1"/>
  <c r="AN165" i="1"/>
  <c r="AI174" i="1"/>
  <c r="V175" i="1"/>
  <c r="W175" i="1"/>
  <c r="AR165" i="1" l="1"/>
  <c r="BA164" i="1"/>
  <c r="AV165" i="1"/>
  <c r="X175" i="1"/>
  <c r="Y175" i="1"/>
  <c r="AJ174" i="1"/>
  <c r="AK174" i="1"/>
  <c r="AD175" i="1" s="1"/>
  <c r="AW165" i="1" l="1"/>
  <c r="Z175" i="1"/>
  <c r="AA175" i="1" s="1"/>
  <c r="AF175" i="1"/>
  <c r="AE175" i="1"/>
  <c r="AY165" i="1" l="1"/>
  <c r="AX165" i="1"/>
  <c r="AB175" i="1"/>
  <c r="U176" i="1" s="1"/>
  <c r="V176" i="1" s="1"/>
  <c r="AS165" i="1"/>
  <c r="AM166" i="1"/>
  <c r="AO166" i="1" s="1"/>
  <c r="AH175" i="1"/>
  <c r="AG175" i="1"/>
  <c r="AZ165" i="1" l="1"/>
  <c r="W176" i="1"/>
  <c r="AP166" i="1"/>
  <c r="AQ166" i="1"/>
  <c r="AI175" i="1"/>
  <c r="AN166" i="1"/>
  <c r="X176" i="1"/>
  <c r="Y176" i="1"/>
  <c r="AR166" i="1" l="1"/>
  <c r="BA165" i="1"/>
  <c r="BB165" i="1"/>
  <c r="AU166" i="1" s="1"/>
  <c r="BC166" i="1" s="1"/>
  <c r="Z176" i="1"/>
  <c r="AB176" i="1" s="1"/>
  <c r="U177" i="1" s="1"/>
  <c r="AJ175" i="1"/>
  <c r="AK175" i="1"/>
  <c r="AD176" i="1" s="1"/>
  <c r="AV166" i="1" l="1"/>
  <c r="AA176" i="1"/>
  <c r="AW166" i="1"/>
  <c r="V177" i="1"/>
  <c r="W177" i="1"/>
  <c r="AF176" i="1"/>
  <c r="AE176" i="1"/>
  <c r="AY166" i="1" l="1"/>
  <c r="AX166" i="1"/>
  <c r="AZ166" i="1" s="1"/>
  <c r="AS166" i="1"/>
  <c r="AM167" i="1"/>
  <c r="AO167" i="1" s="1"/>
  <c r="Y177" i="1"/>
  <c r="X177" i="1"/>
  <c r="Z177" i="1" s="1"/>
  <c r="AH176" i="1"/>
  <c r="AG176" i="1"/>
  <c r="BB166" i="1" l="1"/>
  <c r="AU167" i="1" s="1"/>
  <c r="BC167" i="1" s="1"/>
  <c r="AP167" i="1"/>
  <c r="AQ167" i="1"/>
  <c r="AI176" i="1"/>
  <c r="AN167" i="1"/>
  <c r="AA177" i="1"/>
  <c r="AB177" i="1"/>
  <c r="U178" i="1" s="1"/>
  <c r="BA166" i="1" l="1"/>
  <c r="AR167" i="1"/>
  <c r="AV167" i="1"/>
  <c r="V178" i="1"/>
  <c r="W178" i="1"/>
  <c r="AJ176" i="1"/>
  <c r="AK176" i="1"/>
  <c r="AD177" i="1" s="1"/>
  <c r="AW167" i="1" l="1"/>
  <c r="X178" i="1"/>
  <c r="Y178" i="1"/>
  <c r="AF177" i="1"/>
  <c r="AE177" i="1"/>
  <c r="AY167" i="1" l="1"/>
  <c r="AX167" i="1"/>
  <c r="Z178" i="1"/>
  <c r="AA178" i="1" s="1"/>
  <c r="AS167" i="1"/>
  <c r="AM168" i="1"/>
  <c r="AO168" i="1" s="1"/>
  <c r="AH177" i="1"/>
  <c r="AG177" i="1"/>
  <c r="AZ167" i="1" l="1"/>
  <c r="AB178" i="1"/>
  <c r="U179" i="1" s="1"/>
  <c r="V179" i="1" s="1"/>
  <c r="AP168" i="1"/>
  <c r="AQ168" i="1"/>
  <c r="AI177" i="1"/>
  <c r="AN168" i="1"/>
  <c r="AR168" i="1" l="1"/>
  <c r="W179" i="1"/>
  <c r="X179" i="1" s="1"/>
  <c r="BA167" i="1"/>
  <c r="BB167" i="1"/>
  <c r="AU168" i="1" s="1"/>
  <c r="BC168" i="1" s="1"/>
  <c r="AJ177" i="1"/>
  <c r="AK177" i="1"/>
  <c r="AD178" i="1" s="1"/>
  <c r="Y179" i="1" l="1"/>
  <c r="Z179" i="1"/>
  <c r="AA179" i="1" s="1"/>
  <c r="AV168" i="1"/>
  <c r="AW168" i="1"/>
  <c r="AF178" i="1"/>
  <c r="AE178" i="1"/>
  <c r="AB179" i="1" l="1"/>
  <c r="U180" i="1" s="1"/>
  <c r="AY168" i="1"/>
  <c r="AX168" i="1"/>
  <c r="AZ168" i="1" s="1"/>
  <c r="AS168" i="1"/>
  <c r="AM169" i="1"/>
  <c r="AO169" i="1" s="1"/>
  <c r="V180" i="1"/>
  <c r="W180" i="1"/>
  <c r="AH178" i="1"/>
  <c r="AG178" i="1"/>
  <c r="BA168" i="1" l="1"/>
  <c r="AP169" i="1"/>
  <c r="AQ169" i="1"/>
  <c r="AI178" i="1"/>
  <c r="AN169" i="1"/>
  <c r="X180" i="1"/>
  <c r="Y180" i="1"/>
  <c r="Z180" i="1" s="1"/>
  <c r="AR169" i="1" l="1"/>
  <c r="BB168" i="1"/>
  <c r="AU169" i="1" s="1"/>
  <c r="BC169" i="1" s="1"/>
  <c r="AA180" i="1"/>
  <c r="AB180" i="1"/>
  <c r="U181" i="1" s="1"/>
  <c r="AJ178" i="1"/>
  <c r="AK178" i="1"/>
  <c r="AD179" i="1" s="1"/>
  <c r="AV169" i="1" l="1"/>
  <c r="AW169" i="1"/>
  <c r="V181" i="1"/>
  <c r="W181" i="1"/>
  <c r="AF179" i="1"/>
  <c r="AE179" i="1"/>
  <c r="AY169" i="1" l="1"/>
  <c r="AX169" i="1"/>
  <c r="AS169" i="1"/>
  <c r="AM170" i="1"/>
  <c r="AO170" i="1" s="1"/>
  <c r="Y181" i="1"/>
  <c r="X181" i="1"/>
  <c r="AH179" i="1"/>
  <c r="AG179" i="1"/>
  <c r="AZ169" i="1" l="1"/>
  <c r="Z181" i="1"/>
  <c r="AP170" i="1"/>
  <c r="AQ170" i="1"/>
  <c r="AI179" i="1"/>
  <c r="AN170" i="1"/>
  <c r="AA181" i="1"/>
  <c r="AB181" i="1"/>
  <c r="U182" i="1" s="1"/>
  <c r="AR170" i="1" l="1"/>
  <c r="BA169" i="1"/>
  <c r="BB169" i="1"/>
  <c r="AU170" i="1" s="1"/>
  <c r="BC170" i="1" s="1"/>
  <c r="V182" i="1"/>
  <c r="W182" i="1"/>
  <c r="AJ179" i="1"/>
  <c r="AK179" i="1"/>
  <c r="AD180" i="1" s="1"/>
  <c r="AV170" i="1" l="1"/>
  <c r="AW170" i="1"/>
  <c r="X182" i="1"/>
  <c r="Y182" i="1"/>
  <c r="AF180" i="1"/>
  <c r="AE180" i="1"/>
  <c r="AY170" i="1" l="1"/>
  <c r="AX170" i="1"/>
  <c r="Z182" i="1"/>
  <c r="AA182" i="1" s="1"/>
  <c r="AS170" i="1"/>
  <c r="AM171" i="1"/>
  <c r="AO171" i="1" s="1"/>
  <c r="AH180" i="1"/>
  <c r="AG180" i="1"/>
  <c r="AZ170" i="1" l="1"/>
  <c r="BB170" i="1" s="1"/>
  <c r="AU171" i="1" s="1"/>
  <c r="BC171" i="1" s="1"/>
  <c r="AB182" i="1"/>
  <c r="U183" i="1" s="1"/>
  <c r="V183" i="1" s="1"/>
  <c r="AP171" i="1"/>
  <c r="AQ171" i="1"/>
  <c r="AI180" i="1"/>
  <c r="AN171" i="1"/>
  <c r="BA170" i="1" l="1"/>
  <c r="AR171" i="1"/>
  <c r="W183" i="1"/>
  <c r="Y183" i="1" s="1"/>
  <c r="AV171" i="1"/>
  <c r="AJ180" i="1"/>
  <c r="AK180" i="1"/>
  <c r="AD181" i="1" s="1"/>
  <c r="X183" i="1" l="1"/>
  <c r="Z183" i="1"/>
  <c r="AA183" i="1" s="1"/>
  <c r="AW171" i="1"/>
  <c r="AF181" i="1"/>
  <c r="AE181" i="1"/>
  <c r="AB183" i="1" l="1"/>
  <c r="U184" i="1" s="1"/>
  <c r="V184" i="1" s="1"/>
  <c r="AY171" i="1"/>
  <c r="AX171" i="1"/>
  <c r="AS171" i="1"/>
  <c r="AM172" i="1"/>
  <c r="AO172" i="1" s="1"/>
  <c r="AH181" i="1"/>
  <c r="AG181" i="1"/>
  <c r="AZ171" i="1" l="1"/>
  <c r="W184" i="1"/>
  <c r="Y184" i="1" s="1"/>
  <c r="AP172" i="1"/>
  <c r="AQ172" i="1"/>
  <c r="AI181" i="1"/>
  <c r="AN172" i="1"/>
  <c r="AR172" i="1" l="1"/>
  <c r="X184" i="1"/>
  <c r="Z184" i="1" s="1"/>
  <c r="AB184" i="1" s="1"/>
  <c r="U185" i="1" s="1"/>
  <c r="BA171" i="1"/>
  <c r="BB171" i="1"/>
  <c r="AU172" i="1" s="1"/>
  <c r="BC172" i="1" s="1"/>
  <c r="AJ181" i="1"/>
  <c r="AK181" i="1"/>
  <c r="AD182" i="1" s="1"/>
  <c r="AV172" i="1" l="1"/>
  <c r="AA184" i="1"/>
  <c r="AW172" i="1"/>
  <c r="V185" i="1"/>
  <c r="W185" i="1"/>
  <c r="AF182" i="1"/>
  <c r="AE182" i="1"/>
  <c r="AY172" i="1" l="1"/>
  <c r="AX172" i="1"/>
  <c r="AZ172" i="1" s="1"/>
  <c r="AS172" i="1"/>
  <c r="AM173" i="1"/>
  <c r="AO173" i="1" s="1"/>
  <c r="X185" i="1"/>
  <c r="Y185" i="1"/>
  <c r="AH182" i="1"/>
  <c r="AG182" i="1"/>
  <c r="AP173" i="1" l="1"/>
  <c r="AQ173" i="1"/>
  <c r="AI182" i="1"/>
  <c r="AN173" i="1"/>
  <c r="Z185" i="1"/>
  <c r="AA185" i="1" s="1"/>
  <c r="AB185" i="1"/>
  <c r="U186" i="1" s="1"/>
  <c r="AR173" i="1" l="1"/>
  <c r="BA172" i="1"/>
  <c r="BB172" i="1"/>
  <c r="AU173" i="1" s="1"/>
  <c r="BC173" i="1" s="1"/>
  <c r="V186" i="1"/>
  <c r="W186" i="1"/>
  <c r="AJ182" i="1"/>
  <c r="AK182" i="1"/>
  <c r="AD183" i="1" s="1"/>
  <c r="AV173" i="1" l="1"/>
  <c r="AW173" i="1"/>
  <c r="X186" i="1"/>
  <c r="Y186" i="1"/>
  <c r="AF183" i="1"/>
  <c r="AE183" i="1"/>
  <c r="AY173" i="1" l="1"/>
  <c r="AX173" i="1"/>
  <c r="AS173" i="1"/>
  <c r="AM174" i="1"/>
  <c r="AO174" i="1" s="1"/>
  <c r="Z186" i="1"/>
  <c r="AB186" i="1" s="1"/>
  <c r="U187" i="1" s="1"/>
  <c r="AH183" i="1"/>
  <c r="AG183" i="1"/>
  <c r="AZ173" i="1" l="1"/>
  <c r="AP174" i="1"/>
  <c r="AQ174" i="1"/>
  <c r="AA186" i="1"/>
  <c r="AN174" i="1"/>
  <c r="AI183" i="1"/>
  <c r="V187" i="1"/>
  <c r="W187" i="1"/>
  <c r="AR174" i="1" l="1"/>
  <c r="BA173" i="1"/>
  <c r="BB173" i="1"/>
  <c r="AU174" i="1" s="1"/>
  <c r="BC174" i="1" s="1"/>
  <c r="X187" i="1"/>
  <c r="Y187" i="1"/>
  <c r="AJ183" i="1"/>
  <c r="AK183" i="1"/>
  <c r="AD184" i="1" s="1"/>
  <c r="Z187" i="1" l="1"/>
  <c r="AA187" i="1" s="1"/>
  <c r="AV174" i="1"/>
  <c r="AW174" i="1"/>
  <c r="AB187" i="1"/>
  <c r="U188" i="1" s="1"/>
  <c r="AF184" i="1"/>
  <c r="AE184" i="1"/>
  <c r="AY174" i="1" l="1"/>
  <c r="AX174" i="1"/>
  <c r="AS174" i="1"/>
  <c r="AM175" i="1"/>
  <c r="AO175" i="1" s="1"/>
  <c r="V188" i="1"/>
  <c r="W188" i="1"/>
  <c r="AH184" i="1"/>
  <c r="AG184" i="1"/>
  <c r="AZ174" i="1" l="1"/>
  <c r="BA174" i="1" s="1"/>
  <c r="AP175" i="1"/>
  <c r="AQ175" i="1"/>
  <c r="BB174" i="1"/>
  <c r="AU175" i="1" s="1"/>
  <c r="BC175" i="1" s="1"/>
  <c r="AI184" i="1"/>
  <c r="AN175" i="1"/>
  <c r="Y188" i="1"/>
  <c r="X188" i="1"/>
  <c r="Z188" i="1" l="1"/>
  <c r="AR175" i="1"/>
  <c r="AV175" i="1"/>
  <c r="AA188" i="1"/>
  <c r="AB188" i="1"/>
  <c r="U189" i="1" s="1"/>
  <c r="AJ184" i="1"/>
  <c r="AK184" i="1"/>
  <c r="AD185" i="1" s="1"/>
  <c r="AW175" i="1" l="1"/>
  <c r="V189" i="1"/>
  <c r="W189" i="1"/>
  <c r="AF185" i="1"/>
  <c r="AE185" i="1"/>
  <c r="AY175" i="1" l="1"/>
  <c r="AX175" i="1"/>
  <c r="AS175" i="1"/>
  <c r="AM176" i="1"/>
  <c r="AO176" i="1" s="1"/>
  <c r="Y189" i="1"/>
  <c r="X189" i="1"/>
  <c r="AH185" i="1"/>
  <c r="AG185" i="1"/>
  <c r="AZ175" i="1" l="1"/>
  <c r="AP176" i="1"/>
  <c r="AQ176" i="1"/>
  <c r="AI185" i="1"/>
  <c r="AN176" i="1"/>
  <c r="Z189" i="1"/>
  <c r="AB189" i="1" s="1"/>
  <c r="U190" i="1" s="1"/>
  <c r="AR176" i="1" l="1"/>
  <c r="AA189" i="1"/>
  <c r="BA175" i="1"/>
  <c r="BB175" i="1"/>
  <c r="AU176" i="1" s="1"/>
  <c r="BC176" i="1" s="1"/>
  <c r="V190" i="1"/>
  <c r="W190" i="1"/>
  <c r="AJ185" i="1"/>
  <c r="AK185" i="1"/>
  <c r="AD186" i="1" s="1"/>
  <c r="AV176" i="1" l="1"/>
  <c r="AW176" i="1"/>
  <c r="Y190" i="1"/>
  <c r="X190" i="1"/>
  <c r="AF186" i="1"/>
  <c r="AE186" i="1"/>
  <c r="AY176" i="1" l="1"/>
  <c r="AX176" i="1"/>
  <c r="AZ176" i="1" s="1"/>
  <c r="AS176" i="1"/>
  <c r="AM177" i="1"/>
  <c r="AO177" i="1" s="1"/>
  <c r="Z190" i="1"/>
  <c r="AB190" i="1" s="1"/>
  <c r="U191" i="1" s="1"/>
  <c r="AH186" i="1"/>
  <c r="AG186" i="1"/>
  <c r="AP177" i="1" l="1"/>
  <c r="AQ177" i="1"/>
  <c r="AI186" i="1"/>
  <c r="AN177" i="1"/>
  <c r="V191" i="1"/>
  <c r="W191" i="1"/>
  <c r="AA190" i="1"/>
  <c r="AR177" i="1" l="1"/>
  <c r="BA176" i="1"/>
  <c r="BB176" i="1"/>
  <c r="AU177" i="1" s="1"/>
  <c r="BC177" i="1" s="1"/>
  <c r="Y191" i="1"/>
  <c r="X191" i="1"/>
  <c r="AJ186" i="1"/>
  <c r="AK186" i="1"/>
  <c r="AD187" i="1" s="1"/>
  <c r="Z191" i="1" l="1"/>
  <c r="AA191" i="1" s="1"/>
  <c r="AV177" i="1"/>
  <c r="AW177" i="1"/>
  <c r="AB191" i="1"/>
  <c r="U192" i="1" s="1"/>
  <c r="V192" i="1" s="1"/>
  <c r="AF187" i="1"/>
  <c r="AE187" i="1"/>
  <c r="AY177" i="1" l="1"/>
  <c r="AX177" i="1"/>
  <c r="AZ177" i="1" s="1"/>
  <c r="AS177" i="1"/>
  <c r="AM178" i="1"/>
  <c r="AO178" i="1" s="1"/>
  <c r="W192" i="1"/>
  <c r="Y192" i="1" s="1"/>
  <c r="AH187" i="1"/>
  <c r="AG187" i="1"/>
  <c r="BA177" i="1" l="1"/>
  <c r="AP178" i="1"/>
  <c r="AQ178" i="1"/>
  <c r="X192" i="1"/>
  <c r="Z192" i="1" s="1"/>
  <c r="AI187" i="1"/>
  <c r="AN178" i="1"/>
  <c r="BB177" i="1" l="1"/>
  <c r="AU178" i="1" s="1"/>
  <c r="BC178" i="1" s="1"/>
  <c r="AR178" i="1"/>
  <c r="AA192" i="1"/>
  <c r="AB192" i="1"/>
  <c r="U193" i="1" s="1"/>
  <c r="V193" i="1" s="1"/>
  <c r="AJ187" i="1"/>
  <c r="AK187" i="1"/>
  <c r="AD188" i="1" s="1"/>
  <c r="AV178" i="1" l="1"/>
  <c r="W193" i="1"/>
  <c r="AW178" i="1"/>
  <c r="AF188" i="1"/>
  <c r="AE188" i="1"/>
  <c r="X193" i="1"/>
  <c r="Y193" i="1"/>
  <c r="AY178" i="1" l="1"/>
  <c r="AX178" i="1"/>
  <c r="AS178" i="1"/>
  <c r="AM179" i="1"/>
  <c r="AO179" i="1" s="1"/>
  <c r="Z193" i="1"/>
  <c r="AH188" i="1"/>
  <c r="AG188" i="1"/>
  <c r="AZ178" i="1" l="1"/>
  <c r="BA178" i="1" s="1"/>
  <c r="AP179" i="1"/>
  <c r="AQ179" i="1"/>
  <c r="AI188" i="1"/>
  <c r="AN179" i="1"/>
  <c r="AA193" i="1"/>
  <c r="AB193" i="1"/>
  <c r="U194" i="1" s="1"/>
  <c r="AR179" i="1" l="1"/>
  <c r="BB178" i="1"/>
  <c r="AU179" i="1" s="1"/>
  <c r="BC179" i="1" s="1"/>
  <c r="AJ188" i="1"/>
  <c r="AK188" i="1"/>
  <c r="AD189" i="1" s="1"/>
  <c r="V194" i="1"/>
  <c r="W194" i="1"/>
  <c r="AV179" i="1" l="1"/>
  <c r="AW179" i="1"/>
  <c r="AF189" i="1"/>
  <c r="AE189" i="1"/>
  <c r="Y194" i="1"/>
  <c r="X194" i="1"/>
  <c r="AY179" i="1" l="1"/>
  <c r="AX179" i="1"/>
  <c r="AZ179" i="1" s="1"/>
  <c r="Z194" i="1"/>
  <c r="AA194" i="1" s="1"/>
  <c r="AS179" i="1"/>
  <c r="AM180" i="1"/>
  <c r="AO180" i="1" s="1"/>
  <c r="AH189" i="1"/>
  <c r="AG189" i="1"/>
  <c r="AP180" i="1" l="1"/>
  <c r="AQ180" i="1"/>
  <c r="AB194" i="1"/>
  <c r="U195" i="1" s="1"/>
  <c r="V195" i="1" s="1"/>
  <c r="AN180" i="1"/>
  <c r="AI189" i="1"/>
  <c r="AR180" i="1" l="1"/>
  <c r="W195" i="1"/>
  <c r="X195" i="1" s="1"/>
  <c r="BA179" i="1"/>
  <c r="BB179" i="1"/>
  <c r="AU180" i="1" s="1"/>
  <c r="BC180" i="1" s="1"/>
  <c r="AJ189" i="1"/>
  <c r="AK189" i="1"/>
  <c r="AD190" i="1" s="1"/>
  <c r="Y195" i="1" l="1"/>
  <c r="Z195" i="1" s="1"/>
  <c r="AB195" i="1" s="1"/>
  <c r="U196" i="1" s="1"/>
  <c r="AV180" i="1"/>
  <c r="AW180" i="1"/>
  <c r="AF190" i="1"/>
  <c r="AE190" i="1"/>
  <c r="AY180" i="1" l="1"/>
  <c r="AX180" i="1"/>
  <c r="AZ180" i="1" s="1"/>
  <c r="AA195" i="1"/>
  <c r="AS180" i="1"/>
  <c r="AM181" i="1"/>
  <c r="AO181" i="1" s="1"/>
  <c r="AH190" i="1"/>
  <c r="AG190" i="1"/>
  <c r="V196" i="1"/>
  <c r="W196" i="1"/>
  <c r="AP181" i="1" l="1"/>
  <c r="AQ181" i="1"/>
  <c r="AI190" i="1"/>
  <c r="AN181" i="1"/>
  <c r="X196" i="1"/>
  <c r="Y196" i="1"/>
  <c r="AR181" i="1" l="1"/>
  <c r="BA180" i="1"/>
  <c r="BB180" i="1"/>
  <c r="AU181" i="1" s="1"/>
  <c r="BC181" i="1" s="1"/>
  <c r="Z196" i="1"/>
  <c r="AA196" i="1" s="1"/>
  <c r="AJ190" i="1"/>
  <c r="AK190" i="1"/>
  <c r="AD191" i="1" s="1"/>
  <c r="AB196" i="1" l="1"/>
  <c r="U197" i="1" s="1"/>
  <c r="V197" i="1" s="1"/>
  <c r="AV181" i="1"/>
  <c r="AW181" i="1"/>
  <c r="AF191" i="1"/>
  <c r="AE191" i="1"/>
  <c r="W197" i="1" l="1"/>
  <c r="AY181" i="1"/>
  <c r="AX181" i="1"/>
  <c r="AZ181" i="1" s="1"/>
  <c r="AS181" i="1"/>
  <c r="AM182" i="1"/>
  <c r="AO182" i="1" s="1"/>
  <c r="AH191" i="1"/>
  <c r="AG191" i="1"/>
  <c r="X197" i="1"/>
  <c r="Y197" i="1"/>
  <c r="BA181" i="1" l="1"/>
  <c r="AP182" i="1"/>
  <c r="AQ182" i="1"/>
  <c r="AN182" i="1"/>
  <c r="AI191" i="1"/>
  <c r="Z197" i="1"/>
  <c r="AR182" i="1" l="1"/>
  <c r="BB181" i="1"/>
  <c r="AU182" i="1" s="1"/>
  <c r="BC182" i="1" s="1"/>
  <c r="AJ191" i="1"/>
  <c r="AK191" i="1"/>
  <c r="AD192" i="1" s="1"/>
  <c r="AA197" i="1"/>
  <c r="AB197" i="1"/>
  <c r="U198" i="1" s="1"/>
  <c r="AV182" i="1" l="1"/>
  <c r="AW182" i="1"/>
  <c r="AF192" i="1"/>
  <c r="AE192" i="1"/>
  <c r="V198" i="1"/>
  <c r="W198" i="1"/>
  <c r="AY182" i="1" l="1"/>
  <c r="AX182" i="1"/>
  <c r="AZ182" i="1" s="1"/>
  <c r="AS182" i="1"/>
  <c r="AM183" i="1"/>
  <c r="AO183" i="1" s="1"/>
  <c r="AH192" i="1"/>
  <c r="AG192" i="1"/>
  <c r="Y198" i="1"/>
  <c r="X198" i="1"/>
  <c r="AP183" i="1" l="1"/>
  <c r="AQ183" i="1"/>
  <c r="Z198" i="1"/>
  <c r="AA198" i="1" s="1"/>
  <c r="AN183" i="1"/>
  <c r="AI192" i="1"/>
  <c r="AR183" i="1" l="1"/>
  <c r="AB198" i="1"/>
  <c r="U199" i="1" s="1"/>
  <c r="V199" i="1" s="1"/>
  <c r="BA182" i="1"/>
  <c r="BB182" i="1"/>
  <c r="AU183" i="1" s="1"/>
  <c r="BC183" i="1" s="1"/>
  <c r="AJ192" i="1"/>
  <c r="AK192" i="1"/>
  <c r="AD193" i="1" s="1"/>
  <c r="W199" i="1" l="1"/>
  <c r="AV183" i="1"/>
  <c r="AW183" i="1"/>
  <c r="AF193" i="1"/>
  <c r="AE193" i="1"/>
  <c r="Y199" i="1"/>
  <c r="X199" i="1"/>
  <c r="AY183" i="1" l="1"/>
  <c r="AX183" i="1"/>
  <c r="AZ183" i="1" s="1"/>
  <c r="Z199" i="1"/>
  <c r="AA199" i="1" s="1"/>
  <c r="AS183" i="1"/>
  <c r="AM184" i="1"/>
  <c r="AO184" i="1" s="1"/>
  <c r="AH193" i="1"/>
  <c r="AG193" i="1"/>
  <c r="AP184" i="1" l="1"/>
  <c r="AQ184" i="1"/>
  <c r="AB199" i="1"/>
  <c r="U200" i="1" s="1"/>
  <c r="V200" i="1" s="1"/>
  <c r="AN184" i="1"/>
  <c r="AI193" i="1"/>
  <c r="AR184" i="1" l="1"/>
  <c r="W200" i="1"/>
  <c r="Y200" i="1" s="1"/>
  <c r="BA183" i="1"/>
  <c r="BB183" i="1"/>
  <c r="AU184" i="1" s="1"/>
  <c r="BC184" i="1" s="1"/>
  <c r="AJ193" i="1"/>
  <c r="AK193" i="1"/>
  <c r="AD194" i="1" s="1"/>
  <c r="X200" i="1"/>
  <c r="Z200" i="1" l="1"/>
  <c r="AV184" i="1"/>
  <c r="AW184" i="1"/>
  <c r="AF194" i="1"/>
  <c r="AE194" i="1"/>
  <c r="AY184" i="1" l="1"/>
  <c r="AX184" i="1"/>
  <c r="AZ184" i="1" s="1"/>
  <c r="AS184" i="1"/>
  <c r="AM185" i="1"/>
  <c r="AO185" i="1" s="1"/>
  <c r="AH194" i="1"/>
  <c r="AG194" i="1"/>
  <c r="AA200" i="1"/>
  <c r="AB200" i="1"/>
  <c r="U201" i="1" s="1"/>
  <c r="AP185" i="1" l="1"/>
  <c r="AQ185" i="1"/>
  <c r="AN185" i="1"/>
  <c r="AI194" i="1"/>
  <c r="V201" i="1"/>
  <c r="W201" i="1"/>
  <c r="AR185" i="1" l="1"/>
  <c r="BA184" i="1"/>
  <c r="BB184" i="1"/>
  <c r="AU185" i="1" s="1"/>
  <c r="BC185" i="1" s="1"/>
  <c r="AJ194" i="1"/>
  <c r="AK194" i="1"/>
  <c r="AD195" i="1" s="1"/>
  <c r="Y201" i="1"/>
  <c r="X201" i="1"/>
  <c r="AV185" i="1" l="1"/>
  <c r="AW185" i="1"/>
  <c r="Z201" i="1"/>
  <c r="AF195" i="1"/>
  <c r="AE195" i="1"/>
  <c r="AY185" i="1" l="1"/>
  <c r="AX185" i="1"/>
  <c r="AZ185" i="1" s="1"/>
  <c r="AS185" i="1"/>
  <c r="AM186" i="1"/>
  <c r="AO186" i="1" s="1"/>
  <c r="AH195" i="1"/>
  <c r="AG195" i="1"/>
  <c r="AA201" i="1"/>
  <c r="AB201" i="1"/>
  <c r="U202" i="1" s="1"/>
  <c r="BA185" i="1" l="1"/>
  <c r="AP186" i="1"/>
  <c r="AQ186" i="1"/>
  <c r="AN186" i="1"/>
  <c r="AI195" i="1"/>
  <c r="V202" i="1"/>
  <c r="W202" i="1"/>
  <c r="AR186" i="1" l="1"/>
  <c r="BB185" i="1"/>
  <c r="AU186" i="1" s="1"/>
  <c r="BC186" i="1" s="1"/>
  <c r="AJ195" i="1"/>
  <c r="AK195" i="1"/>
  <c r="AD196" i="1" s="1"/>
  <c r="Y202" i="1"/>
  <c r="X202" i="1"/>
  <c r="Z202" i="1" s="1"/>
  <c r="AV186" i="1" l="1"/>
  <c r="AW186" i="1"/>
  <c r="AF196" i="1"/>
  <c r="AE196" i="1"/>
  <c r="AY186" i="1" l="1"/>
  <c r="AX186" i="1"/>
  <c r="AZ186" i="1" s="1"/>
  <c r="AS186" i="1"/>
  <c r="AM187" i="1"/>
  <c r="AO187" i="1" s="1"/>
  <c r="AH196" i="1"/>
  <c r="AG196" i="1"/>
  <c r="AA202" i="1"/>
  <c r="AB202" i="1"/>
  <c r="U203" i="1" s="1"/>
  <c r="AP187" i="1" l="1"/>
  <c r="AQ187" i="1"/>
  <c r="AN187" i="1"/>
  <c r="AI196" i="1"/>
  <c r="V203" i="1"/>
  <c r="W203" i="1"/>
  <c r="AR187" i="1" l="1"/>
  <c r="BA186" i="1"/>
  <c r="BB186" i="1"/>
  <c r="AU187" i="1" s="1"/>
  <c r="BC187" i="1" s="1"/>
  <c r="AJ196" i="1"/>
  <c r="AK196" i="1"/>
  <c r="AD197" i="1" s="1"/>
  <c r="Y203" i="1"/>
  <c r="X203" i="1"/>
  <c r="Z203" i="1" s="1"/>
  <c r="AV187" i="1" l="1"/>
  <c r="AW187" i="1"/>
  <c r="AF197" i="1"/>
  <c r="AE197" i="1"/>
  <c r="AY187" i="1" l="1"/>
  <c r="AX187" i="1"/>
  <c r="AS187" i="1"/>
  <c r="AM188" i="1"/>
  <c r="AO188" i="1" s="1"/>
  <c r="AH197" i="1"/>
  <c r="AG197" i="1"/>
  <c r="AA203" i="1"/>
  <c r="AB203" i="1"/>
  <c r="U204" i="1" s="1"/>
  <c r="AZ187" i="1" l="1"/>
  <c r="AP188" i="1"/>
  <c r="AQ188" i="1"/>
  <c r="AN188" i="1"/>
  <c r="AI197" i="1"/>
  <c r="V204" i="1"/>
  <c r="W204" i="1"/>
  <c r="AR188" i="1" l="1"/>
  <c r="BA187" i="1"/>
  <c r="BB187" i="1"/>
  <c r="AU188" i="1" s="1"/>
  <c r="BC188" i="1" s="1"/>
  <c r="AJ197" i="1"/>
  <c r="AK197" i="1"/>
  <c r="AD198" i="1" s="1"/>
  <c r="Y204" i="1"/>
  <c r="X204" i="1"/>
  <c r="Z204" i="1" s="1"/>
  <c r="AV188" i="1" l="1"/>
  <c r="AW188" i="1"/>
  <c r="AF198" i="1"/>
  <c r="AE198" i="1"/>
  <c r="AY188" i="1" l="1"/>
  <c r="AX188" i="1"/>
  <c r="AS188" i="1"/>
  <c r="AM189" i="1"/>
  <c r="AO189" i="1" s="1"/>
  <c r="AH198" i="1"/>
  <c r="AG198" i="1"/>
  <c r="AA204" i="1"/>
  <c r="AB204" i="1"/>
  <c r="U205" i="1" s="1"/>
  <c r="AZ188" i="1" l="1"/>
  <c r="AP189" i="1"/>
  <c r="AQ189" i="1"/>
  <c r="AI198" i="1"/>
  <c r="AN189" i="1"/>
  <c r="V205" i="1"/>
  <c r="W205" i="1"/>
  <c r="AR189" i="1" l="1"/>
  <c r="BA188" i="1"/>
  <c r="BB188" i="1"/>
  <c r="AU189" i="1" s="1"/>
  <c r="BC189" i="1" s="1"/>
  <c r="AJ198" i="1"/>
  <c r="AK198" i="1"/>
  <c r="AD199" i="1" s="1"/>
  <c r="Y205" i="1"/>
  <c r="X205" i="1"/>
  <c r="AV189" i="1" l="1"/>
  <c r="AW189" i="1"/>
  <c r="Z205" i="1"/>
  <c r="AA205" i="1" s="1"/>
  <c r="AF199" i="1"/>
  <c r="AE199" i="1"/>
  <c r="AY189" i="1" l="1"/>
  <c r="AX189" i="1"/>
  <c r="AB205" i="1"/>
  <c r="U206" i="1" s="1"/>
  <c r="V206" i="1" s="1"/>
  <c r="AS189" i="1"/>
  <c r="AM190" i="1"/>
  <c r="AO190" i="1" s="1"/>
  <c r="AH199" i="1"/>
  <c r="AG199" i="1"/>
  <c r="AZ189" i="1" l="1"/>
  <c r="AP190" i="1"/>
  <c r="AQ190" i="1"/>
  <c r="W206" i="1"/>
  <c r="X206" i="1" s="1"/>
  <c r="AN190" i="1"/>
  <c r="AI199" i="1"/>
  <c r="AR190" i="1" l="1"/>
  <c r="Y206" i="1"/>
  <c r="Z206" i="1" s="1"/>
  <c r="AA206" i="1" s="1"/>
  <c r="BA189" i="1"/>
  <c r="BB189" i="1"/>
  <c r="AU190" i="1" s="1"/>
  <c r="BC190" i="1" s="1"/>
  <c r="AJ199" i="1"/>
  <c r="AK199" i="1"/>
  <c r="AD200" i="1" s="1"/>
  <c r="AV190" i="1" l="1"/>
  <c r="AW190" i="1"/>
  <c r="AB206" i="1"/>
  <c r="U207" i="1" s="1"/>
  <c r="V207" i="1" s="1"/>
  <c r="AF200" i="1"/>
  <c r="AE200" i="1"/>
  <c r="AY190" i="1" l="1"/>
  <c r="AX190" i="1"/>
  <c r="AZ190" i="1" s="1"/>
  <c r="AS190" i="1"/>
  <c r="AM191" i="1"/>
  <c r="AO191" i="1" s="1"/>
  <c r="W207" i="1"/>
  <c r="Y207" i="1" s="1"/>
  <c r="AH200" i="1"/>
  <c r="AG200" i="1"/>
  <c r="AP191" i="1" l="1"/>
  <c r="AQ191" i="1"/>
  <c r="AI200" i="1"/>
  <c r="AK200" i="1" s="1"/>
  <c r="AD201" i="1" s="1"/>
  <c r="AN191" i="1"/>
  <c r="X207" i="1"/>
  <c r="Z207" i="1" s="1"/>
  <c r="AA207" i="1" s="1"/>
  <c r="AR191" i="1" l="1"/>
  <c r="BA190" i="1"/>
  <c r="BB190" i="1"/>
  <c r="AU191" i="1" s="1"/>
  <c r="BC191" i="1" s="1"/>
  <c r="AJ200" i="1"/>
  <c r="AB207" i="1"/>
  <c r="U208" i="1" s="1"/>
  <c r="W208" i="1" s="1"/>
  <c r="AF201" i="1"/>
  <c r="AE201" i="1"/>
  <c r="AV191" i="1" l="1"/>
  <c r="AW191" i="1"/>
  <c r="V208" i="1"/>
  <c r="AH201" i="1"/>
  <c r="AG201" i="1"/>
  <c r="Y208" i="1"/>
  <c r="X208" i="1"/>
  <c r="AY191" i="1" l="1"/>
  <c r="AX191" i="1"/>
  <c r="AI201" i="1"/>
  <c r="AK201" i="1" s="1"/>
  <c r="AD202" i="1" s="1"/>
  <c r="AS191" i="1"/>
  <c r="AM192" i="1"/>
  <c r="AO192" i="1" s="1"/>
  <c r="Z208" i="1"/>
  <c r="AB208" i="1" s="1"/>
  <c r="U209" i="1" s="1"/>
  <c r="AA208" i="1"/>
  <c r="AZ191" i="1" l="1"/>
  <c r="AP192" i="1"/>
  <c r="AQ192" i="1"/>
  <c r="AJ201" i="1"/>
  <c r="AN192" i="1"/>
  <c r="AF202" i="1"/>
  <c r="AE202" i="1"/>
  <c r="V209" i="1"/>
  <c r="W209" i="1"/>
  <c r="AR192" i="1" l="1"/>
  <c r="BA191" i="1"/>
  <c r="BB191" i="1"/>
  <c r="AU192" i="1" s="1"/>
  <c r="BC192" i="1" s="1"/>
  <c r="AH202" i="1"/>
  <c r="AG202" i="1"/>
  <c r="Y209" i="1"/>
  <c r="X209" i="1"/>
  <c r="AV192" i="1" l="1"/>
  <c r="AW192" i="1"/>
  <c r="AI202" i="1"/>
  <c r="AJ202" i="1" s="1"/>
  <c r="Z209" i="1"/>
  <c r="AB209" i="1" s="1"/>
  <c r="U210" i="1" s="1"/>
  <c r="AA209" i="1" l="1"/>
  <c r="AY192" i="1"/>
  <c r="AX192" i="1"/>
  <c r="AS192" i="1"/>
  <c r="AM193" i="1"/>
  <c r="AO193" i="1" s="1"/>
  <c r="AK202" i="1"/>
  <c r="AD203" i="1" s="1"/>
  <c r="AF203" i="1" s="1"/>
  <c r="V210" i="1"/>
  <c r="W210" i="1"/>
  <c r="AZ192" i="1" l="1"/>
  <c r="BA192" i="1" s="1"/>
  <c r="AP193" i="1"/>
  <c r="AQ193" i="1"/>
  <c r="AN193" i="1"/>
  <c r="AE203" i="1"/>
  <c r="AH203" i="1"/>
  <c r="AG203" i="1"/>
  <c r="Y210" i="1"/>
  <c r="X210" i="1"/>
  <c r="AR193" i="1" l="1"/>
  <c r="BB192" i="1"/>
  <c r="AU193" i="1" s="1"/>
  <c r="Z210" i="1"/>
  <c r="AA210" i="1" s="1"/>
  <c r="AI203" i="1"/>
  <c r="AK203" i="1" s="1"/>
  <c r="AD204" i="1" s="1"/>
  <c r="AV193" i="1" l="1"/>
  <c r="BC193" i="1"/>
  <c r="AJ203" i="1"/>
  <c r="AB210" i="1"/>
  <c r="U211" i="1" s="1"/>
  <c r="W211" i="1" s="1"/>
  <c r="AW193" i="1"/>
  <c r="AF204" i="1"/>
  <c r="AE204" i="1"/>
  <c r="AY193" i="1" l="1"/>
  <c r="AX193" i="1"/>
  <c r="AZ193" i="1" s="1"/>
  <c r="V211" i="1"/>
  <c r="AS193" i="1"/>
  <c r="AM194" i="1"/>
  <c r="AO194" i="1" s="1"/>
  <c r="AH204" i="1"/>
  <c r="AG204" i="1"/>
  <c r="Y211" i="1"/>
  <c r="X211" i="1"/>
  <c r="AP194" i="1" l="1"/>
  <c r="AQ194" i="1"/>
  <c r="BB193" i="1"/>
  <c r="AU194" i="1" s="1"/>
  <c r="BC194" i="1" s="1"/>
  <c r="Z211" i="1"/>
  <c r="AA211" i="1" s="1"/>
  <c r="AI204" i="1"/>
  <c r="AK204" i="1" s="1"/>
  <c r="AD205" i="1" s="1"/>
  <c r="AN194" i="1"/>
  <c r="AR194" i="1" l="1"/>
  <c r="AB211" i="1"/>
  <c r="U212" i="1" s="1"/>
  <c r="V212" i="1" s="1"/>
  <c r="BA193" i="1"/>
  <c r="AV194" i="1"/>
  <c r="AJ204" i="1"/>
  <c r="AF205" i="1"/>
  <c r="AE205" i="1"/>
  <c r="W212" i="1" l="1"/>
  <c r="AW194" i="1"/>
  <c r="AH205" i="1"/>
  <c r="AG205" i="1"/>
  <c r="Y212" i="1"/>
  <c r="X212" i="1"/>
  <c r="AY194" i="1" l="1"/>
  <c r="AX194" i="1"/>
  <c r="Z212" i="1"/>
  <c r="AA212" i="1" s="1"/>
  <c r="AI205" i="1"/>
  <c r="AS194" i="1"/>
  <c r="AM195" i="1"/>
  <c r="AO195" i="1" s="1"/>
  <c r="AB212" i="1"/>
  <c r="U213" i="1" s="1"/>
  <c r="AZ194" i="1" l="1"/>
  <c r="BB194" i="1" s="1"/>
  <c r="AU195" i="1" s="1"/>
  <c r="BC195" i="1" s="1"/>
  <c r="AP195" i="1"/>
  <c r="AQ195" i="1"/>
  <c r="AN195" i="1"/>
  <c r="AJ205" i="1"/>
  <c r="AK205" i="1"/>
  <c r="AD206" i="1" s="1"/>
  <c r="V213" i="1"/>
  <c r="W213" i="1"/>
  <c r="BA194" i="1" l="1"/>
  <c r="AR195" i="1"/>
  <c r="AV195" i="1"/>
  <c r="AF206" i="1"/>
  <c r="AE206" i="1"/>
  <c r="Y213" i="1"/>
  <c r="X213" i="1"/>
  <c r="Z213" i="1" l="1"/>
  <c r="AW195" i="1"/>
  <c r="AH206" i="1"/>
  <c r="AG206" i="1"/>
  <c r="AY195" i="1" l="1"/>
  <c r="AX195" i="1"/>
  <c r="AZ195" i="1" s="1"/>
  <c r="AI206" i="1"/>
  <c r="AS195" i="1"/>
  <c r="AM196" i="1"/>
  <c r="AO196" i="1" s="1"/>
  <c r="AA213" i="1"/>
  <c r="AB213" i="1"/>
  <c r="U214" i="1" s="1"/>
  <c r="BB195" i="1" l="1"/>
  <c r="AU196" i="1" s="1"/>
  <c r="BC196" i="1" s="1"/>
  <c r="AP196" i="1"/>
  <c r="AQ196" i="1"/>
  <c r="AN196" i="1"/>
  <c r="AJ206" i="1"/>
  <c r="AK206" i="1"/>
  <c r="AD207" i="1" s="1"/>
  <c r="V214" i="1"/>
  <c r="W214" i="1"/>
  <c r="BA195" i="1" l="1"/>
  <c r="AR196" i="1"/>
  <c r="AV196" i="1"/>
  <c r="AF207" i="1"/>
  <c r="AE207" i="1"/>
  <c r="Y214" i="1"/>
  <c r="X214" i="1"/>
  <c r="Z214" i="1" s="1"/>
  <c r="AW196" i="1" l="1"/>
  <c r="AH207" i="1"/>
  <c r="AG207" i="1"/>
  <c r="AY196" i="1" l="1"/>
  <c r="AX196" i="1"/>
  <c r="AI207" i="1"/>
  <c r="AS196" i="1"/>
  <c r="AM197" i="1"/>
  <c r="AO197" i="1" s="1"/>
  <c r="AA214" i="1"/>
  <c r="AB214" i="1"/>
  <c r="U215" i="1" s="1"/>
  <c r="AZ196" i="1" l="1"/>
  <c r="AP197" i="1"/>
  <c r="AQ197" i="1"/>
  <c r="AN197" i="1"/>
  <c r="AJ207" i="1"/>
  <c r="AK207" i="1"/>
  <c r="AD208" i="1" s="1"/>
  <c r="V215" i="1"/>
  <c r="W215" i="1"/>
  <c r="AR197" i="1" l="1"/>
  <c r="BA196" i="1"/>
  <c r="BB196" i="1"/>
  <c r="AU197" i="1" s="1"/>
  <c r="BC197" i="1" s="1"/>
  <c r="AF208" i="1"/>
  <c r="AE208" i="1"/>
  <c r="Y215" i="1"/>
  <c r="X215" i="1"/>
  <c r="AV197" i="1" l="1"/>
  <c r="AW197" i="1"/>
  <c r="Z215" i="1"/>
  <c r="AA215" i="1" s="1"/>
  <c r="AH208" i="1"/>
  <c r="AG208" i="1"/>
  <c r="AI208" i="1" l="1"/>
  <c r="AY197" i="1"/>
  <c r="AX197" i="1"/>
  <c r="AS197" i="1"/>
  <c r="AM198" i="1"/>
  <c r="AO198" i="1" s="1"/>
  <c r="AB215" i="1"/>
  <c r="U216" i="1" s="1"/>
  <c r="V216" i="1" s="1"/>
  <c r="AZ197" i="1" l="1"/>
  <c r="AP198" i="1"/>
  <c r="AQ198" i="1"/>
  <c r="BA197" i="1"/>
  <c r="W216" i="1"/>
  <c r="X216" i="1" s="1"/>
  <c r="AN198" i="1"/>
  <c r="AJ208" i="1"/>
  <c r="AK208" i="1"/>
  <c r="AD209" i="1" s="1"/>
  <c r="Y216" i="1" l="1"/>
  <c r="Z216" i="1" s="1"/>
  <c r="AB216" i="1" s="1"/>
  <c r="U217" i="1" s="1"/>
  <c r="AR198" i="1"/>
  <c r="BB197" i="1"/>
  <c r="AU198" i="1" s="1"/>
  <c r="AF209" i="1"/>
  <c r="AE209" i="1"/>
  <c r="AV198" i="1" l="1"/>
  <c r="BC198" i="1"/>
  <c r="AA216" i="1"/>
  <c r="AW198" i="1"/>
  <c r="AH209" i="1"/>
  <c r="AG209" i="1"/>
  <c r="V217" i="1"/>
  <c r="W217" i="1"/>
  <c r="AY198" i="1" l="1"/>
  <c r="AX198" i="1"/>
  <c r="AI209" i="1"/>
  <c r="AS198" i="1"/>
  <c r="AM199" i="1"/>
  <c r="AO199" i="1" s="1"/>
  <c r="Y217" i="1"/>
  <c r="X217" i="1"/>
  <c r="AZ198" i="1" l="1"/>
  <c r="AP199" i="1"/>
  <c r="AQ199" i="1"/>
  <c r="AN199" i="1"/>
  <c r="Z217" i="1"/>
  <c r="AA217" i="1" s="1"/>
  <c r="AJ209" i="1"/>
  <c r="AK209" i="1"/>
  <c r="AD210" i="1" s="1"/>
  <c r="AR199" i="1" l="1"/>
  <c r="BA198" i="1"/>
  <c r="BB198" i="1"/>
  <c r="AU199" i="1" s="1"/>
  <c r="BC199" i="1" s="1"/>
  <c r="AB217" i="1"/>
  <c r="U218" i="1" s="1"/>
  <c r="W218" i="1" s="1"/>
  <c r="AF210" i="1"/>
  <c r="AE210" i="1"/>
  <c r="V218" i="1" l="1"/>
  <c r="AV199" i="1"/>
  <c r="AW199" i="1"/>
  <c r="AH210" i="1"/>
  <c r="AG210" i="1"/>
  <c r="X218" i="1"/>
  <c r="Y218" i="1"/>
  <c r="AY199" i="1" l="1"/>
  <c r="AX199" i="1"/>
  <c r="AI210" i="1"/>
  <c r="AS199" i="1"/>
  <c r="AM200" i="1"/>
  <c r="AO200" i="1" s="1"/>
  <c r="Z218" i="1"/>
  <c r="AA218" i="1" s="1"/>
  <c r="AZ199" i="1" l="1"/>
  <c r="AP200" i="1"/>
  <c r="AQ200" i="1"/>
  <c r="AB218" i="1"/>
  <c r="U219" i="1" s="1"/>
  <c r="W219" i="1" s="1"/>
  <c r="AN200" i="1"/>
  <c r="AJ210" i="1"/>
  <c r="AK210" i="1"/>
  <c r="AD211" i="1" s="1"/>
  <c r="AR200" i="1" l="1"/>
  <c r="V219" i="1"/>
  <c r="BA199" i="1"/>
  <c r="BB199" i="1"/>
  <c r="AU200" i="1" s="1"/>
  <c r="BC200" i="1" s="1"/>
  <c r="AF211" i="1"/>
  <c r="AE211" i="1"/>
  <c r="Y219" i="1"/>
  <c r="X219" i="1"/>
  <c r="Z219" i="1" s="1"/>
  <c r="AV200" i="1" l="1"/>
  <c r="AW200" i="1"/>
  <c r="AH211" i="1"/>
  <c r="AG211" i="1"/>
  <c r="AY200" i="1" l="1"/>
  <c r="AX200" i="1"/>
  <c r="AI211" i="1"/>
  <c r="AS200" i="1"/>
  <c r="AM201" i="1"/>
  <c r="AO201" i="1" s="1"/>
  <c r="AB219" i="1"/>
  <c r="U220" i="1" s="1"/>
  <c r="AA219" i="1"/>
  <c r="AZ200" i="1" l="1"/>
  <c r="AP201" i="1"/>
  <c r="AQ201" i="1"/>
  <c r="AN201" i="1"/>
  <c r="AJ211" i="1"/>
  <c r="AK211" i="1"/>
  <c r="AD212" i="1" s="1"/>
  <c r="V220" i="1"/>
  <c r="W220" i="1"/>
  <c r="AR201" i="1" l="1"/>
  <c r="BA200" i="1"/>
  <c r="BB200" i="1"/>
  <c r="AU201" i="1" s="1"/>
  <c r="BC201" i="1" s="1"/>
  <c r="AF212" i="1"/>
  <c r="AE212" i="1"/>
  <c r="Y220" i="1"/>
  <c r="X220" i="1"/>
  <c r="Z220" i="1" l="1"/>
  <c r="AV201" i="1"/>
  <c r="AW201" i="1"/>
  <c r="AH212" i="1"/>
  <c r="AG212" i="1"/>
  <c r="AY201" i="1" l="1"/>
  <c r="AX201" i="1"/>
  <c r="AZ201" i="1" s="1"/>
  <c r="AI212" i="1"/>
  <c r="AS201" i="1"/>
  <c r="AM202" i="1"/>
  <c r="AO202" i="1" s="1"/>
  <c r="AA220" i="1"/>
  <c r="AB220" i="1"/>
  <c r="U221" i="1" s="1"/>
  <c r="AP202" i="1" l="1"/>
  <c r="AQ202" i="1"/>
  <c r="AN202" i="1"/>
  <c r="AJ212" i="1"/>
  <c r="AK212" i="1"/>
  <c r="AD213" i="1" s="1"/>
  <c r="V221" i="1"/>
  <c r="W221" i="1"/>
  <c r="AR202" i="1" l="1"/>
  <c r="BA201" i="1"/>
  <c r="BB201" i="1"/>
  <c r="AU202" i="1" s="1"/>
  <c r="BC202" i="1" s="1"/>
  <c r="AF213" i="1"/>
  <c r="AE213" i="1"/>
  <c r="Y221" i="1"/>
  <c r="X221" i="1"/>
  <c r="Z221" i="1" s="1"/>
  <c r="AV202" i="1" l="1"/>
  <c r="AW202" i="1"/>
  <c r="AH213" i="1"/>
  <c r="AG213" i="1"/>
  <c r="AY202" i="1" l="1"/>
  <c r="AX202" i="1"/>
  <c r="AZ202" i="1" s="1"/>
  <c r="AI213" i="1"/>
  <c r="AS202" i="1"/>
  <c r="AM203" i="1"/>
  <c r="AO203" i="1" s="1"/>
  <c r="AA221" i="1"/>
  <c r="AB221" i="1"/>
  <c r="U222" i="1" s="1"/>
  <c r="BA202" i="1" l="1"/>
  <c r="AP203" i="1"/>
  <c r="AQ203" i="1"/>
  <c r="AN203" i="1"/>
  <c r="AJ213" i="1"/>
  <c r="AK213" i="1"/>
  <c r="AD214" i="1" s="1"/>
  <c r="V222" i="1"/>
  <c r="W222" i="1"/>
  <c r="BB202" i="1" l="1"/>
  <c r="AU203" i="1" s="1"/>
  <c r="BC203" i="1" s="1"/>
  <c r="AR203" i="1"/>
  <c r="AF214" i="1"/>
  <c r="AE214" i="1"/>
  <c r="Y222" i="1"/>
  <c r="X222" i="1"/>
  <c r="Z222" i="1" s="1"/>
  <c r="AV203" i="1" l="1"/>
  <c r="AW203" i="1"/>
  <c r="AH214" i="1"/>
  <c r="AG214" i="1"/>
  <c r="AY203" i="1" l="1"/>
  <c r="AX203" i="1"/>
  <c r="AS203" i="1"/>
  <c r="AM204" i="1"/>
  <c r="AO204" i="1" s="1"/>
  <c r="AI214" i="1"/>
  <c r="AA222" i="1"/>
  <c r="AB222" i="1"/>
  <c r="U223" i="1" s="1"/>
  <c r="AZ203" i="1" l="1"/>
  <c r="AP204" i="1"/>
  <c r="AQ204" i="1"/>
  <c r="AN204" i="1"/>
  <c r="AJ214" i="1"/>
  <c r="AK214" i="1"/>
  <c r="AD215" i="1" s="1"/>
  <c r="V223" i="1"/>
  <c r="W223" i="1"/>
  <c r="AR204" i="1" l="1"/>
  <c r="BA203" i="1"/>
  <c r="BB203" i="1"/>
  <c r="AU204" i="1" s="1"/>
  <c r="BC204" i="1" s="1"/>
  <c r="AF215" i="1"/>
  <c r="AE215" i="1"/>
  <c r="Y223" i="1"/>
  <c r="X223" i="1"/>
  <c r="AV204" i="1" l="1"/>
  <c r="AW204" i="1"/>
  <c r="Z223" i="1"/>
  <c r="AH215" i="1"/>
  <c r="AG215" i="1"/>
  <c r="AY204" i="1" l="1"/>
  <c r="AX204" i="1"/>
  <c r="AZ204" i="1" s="1"/>
  <c r="AI215" i="1"/>
  <c r="AS204" i="1"/>
  <c r="AM205" i="1"/>
  <c r="AO205" i="1" s="1"/>
  <c r="AA223" i="1"/>
  <c r="AB223" i="1"/>
  <c r="U224" i="1" s="1"/>
  <c r="AP205" i="1" l="1"/>
  <c r="AQ205" i="1"/>
  <c r="BB204" i="1"/>
  <c r="AU205" i="1" s="1"/>
  <c r="BC205" i="1" s="1"/>
  <c r="AN205" i="1"/>
  <c r="AJ215" i="1"/>
  <c r="AK215" i="1"/>
  <c r="AD216" i="1" s="1"/>
  <c r="V224" i="1"/>
  <c r="W224" i="1"/>
  <c r="AR205" i="1" l="1"/>
  <c r="BA204" i="1"/>
  <c r="AV205" i="1"/>
  <c r="AF216" i="1"/>
  <c r="AE216" i="1"/>
  <c r="Y224" i="1"/>
  <c r="X224" i="1"/>
  <c r="Z224" i="1" l="1"/>
  <c r="AW205" i="1"/>
  <c r="AH216" i="1"/>
  <c r="AG216" i="1"/>
  <c r="AY205" i="1" l="1"/>
  <c r="AX205" i="1"/>
  <c r="AI216" i="1"/>
  <c r="AS205" i="1"/>
  <c r="AM206" i="1"/>
  <c r="AO206" i="1" s="1"/>
  <c r="AA224" i="1"/>
  <c r="AB224" i="1"/>
  <c r="U225" i="1" s="1"/>
  <c r="AZ205" i="1" l="1"/>
  <c r="AP206" i="1"/>
  <c r="AQ206" i="1"/>
  <c r="AN206" i="1"/>
  <c r="AJ216" i="1"/>
  <c r="AK216" i="1"/>
  <c r="AD217" i="1" s="1"/>
  <c r="V225" i="1"/>
  <c r="W225" i="1"/>
  <c r="AR206" i="1" l="1"/>
  <c r="BA205" i="1"/>
  <c r="BB205" i="1"/>
  <c r="AU206" i="1" s="1"/>
  <c r="BC206" i="1" s="1"/>
  <c r="AF217" i="1"/>
  <c r="AE217" i="1"/>
  <c r="Y225" i="1"/>
  <c r="X225" i="1"/>
  <c r="Z225" i="1" s="1"/>
  <c r="AV206" i="1" l="1"/>
  <c r="AW206" i="1"/>
  <c r="AH217" i="1"/>
  <c r="AG217" i="1"/>
  <c r="AA225" i="1"/>
  <c r="AB225" i="1"/>
  <c r="U226" i="1" s="1"/>
  <c r="AY206" i="1" l="1"/>
  <c r="AX206" i="1"/>
  <c r="AI217" i="1"/>
  <c r="AS206" i="1"/>
  <c r="AM207" i="1"/>
  <c r="AO207" i="1" s="1"/>
  <c r="V226" i="1"/>
  <c r="W226" i="1"/>
  <c r="AZ206" i="1" l="1"/>
  <c r="AP207" i="1"/>
  <c r="AQ207" i="1"/>
  <c r="AN207" i="1"/>
  <c r="AJ217" i="1"/>
  <c r="AK217" i="1"/>
  <c r="AD218" i="1" s="1"/>
  <c r="Y226" i="1"/>
  <c r="X226" i="1"/>
  <c r="Z226" i="1" s="1"/>
  <c r="AR207" i="1" l="1"/>
  <c r="BA206" i="1"/>
  <c r="BB206" i="1"/>
  <c r="AU207" i="1" s="1"/>
  <c r="BC207" i="1" s="1"/>
  <c r="AF218" i="1"/>
  <c r="AE218" i="1"/>
  <c r="AV207" i="1" l="1"/>
  <c r="AW207" i="1"/>
  <c r="AH218" i="1"/>
  <c r="AG218" i="1"/>
  <c r="AA226" i="1"/>
  <c r="AB226" i="1"/>
  <c r="U227" i="1" s="1"/>
  <c r="AY207" i="1" l="1"/>
  <c r="AX207" i="1"/>
  <c r="AI218" i="1"/>
  <c r="AS207" i="1"/>
  <c r="AM208" i="1"/>
  <c r="AO208" i="1" s="1"/>
  <c r="V227" i="1"/>
  <c r="W227" i="1"/>
  <c r="AZ207" i="1" l="1"/>
  <c r="AP208" i="1"/>
  <c r="AQ208" i="1"/>
  <c r="AN208" i="1"/>
  <c r="AJ218" i="1"/>
  <c r="AK218" i="1"/>
  <c r="AD219" i="1" s="1"/>
  <c r="Y227" i="1"/>
  <c r="X227" i="1"/>
  <c r="AR208" i="1" l="1"/>
  <c r="BA207" i="1"/>
  <c r="BB207" i="1"/>
  <c r="AU208" i="1" s="1"/>
  <c r="BC208" i="1" s="1"/>
  <c r="Z227" i="1"/>
  <c r="AA227" i="1" s="1"/>
  <c r="AF219" i="1"/>
  <c r="AE219" i="1"/>
  <c r="AV208" i="1" l="1"/>
  <c r="AW208" i="1"/>
  <c r="AB227" i="1"/>
  <c r="U228" i="1" s="1"/>
  <c r="W228" i="1" s="1"/>
  <c r="AH219" i="1"/>
  <c r="AG219" i="1"/>
  <c r="AY208" i="1" l="1"/>
  <c r="AX208" i="1"/>
  <c r="AI219" i="1"/>
  <c r="AS208" i="1"/>
  <c r="AM209" i="1"/>
  <c r="AO209" i="1" s="1"/>
  <c r="V228" i="1"/>
  <c r="Y228" i="1"/>
  <c r="X228" i="1"/>
  <c r="Z228" i="1" s="1"/>
  <c r="AZ208" i="1" l="1"/>
  <c r="AP209" i="1"/>
  <c r="AQ209" i="1"/>
  <c r="AN209" i="1"/>
  <c r="AJ219" i="1"/>
  <c r="AK219" i="1"/>
  <c r="AD220" i="1" s="1"/>
  <c r="AR209" i="1" l="1"/>
  <c r="BA208" i="1"/>
  <c r="BB208" i="1"/>
  <c r="AU209" i="1" s="1"/>
  <c r="BC209" i="1" s="1"/>
  <c r="AF220" i="1"/>
  <c r="AE220" i="1"/>
  <c r="AA228" i="1"/>
  <c r="AB228" i="1"/>
  <c r="U229" i="1" s="1"/>
  <c r="AV209" i="1" l="1"/>
  <c r="AW209" i="1"/>
  <c r="AH220" i="1"/>
  <c r="AG220" i="1"/>
  <c r="V229" i="1"/>
  <c r="W229" i="1"/>
  <c r="AY209" i="1" l="1"/>
  <c r="AX209" i="1"/>
  <c r="AZ209" i="1" s="1"/>
  <c r="AI220" i="1"/>
  <c r="AS209" i="1"/>
  <c r="AM210" i="1"/>
  <c r="AO210" i="1" s="1"/>
  <c r="Y229" i="1"/>
  <c r="X229" i="1"/>
  <c r="AP210" i="1" l="1"/>
  <c r="AQ210" i="1"/>
  <c r="AN210" i="1"/>
  <c r="Z229" i="1"/>
  <c r="AJ220" i="1"/>
  <c r="AK220" i="1"/>
  <c r="AD221" i="1" s="1"/>
  <c r="AR210" i="1" l="1"/>
  <c r="BA209" i="1"/>
  <c r="BB209" i="1"/>
  <c r="AU210" i="1" s="1"/>
  <c r="BC210" i="1" s="1"/>
  <c r="AF221" i="1"/>
  <c r="AE221" i="1"/>
  <c r="AA229" i="1"/>
  <c r="AB229" i="1"/>
  <c r="U230" i="1" s="1"/>
  <c r="AV210" i="1" l="1"/>
  <c r="AW210" i="1"/>
  <c r="AH221" i="1"/>
  <c r="AG221" i="1"/>
  <c r="V230" i="1"/>
  <c r="W230" i="1"/>
  <c r="AY210" i="1" l="1"/>
  <c r="AX210" i="1"/>
  <c r="AI221" i="1"/>
  <c r="AS210" i="1"/>
  <c r="AM211" i="1"/>
  <c r="AO211" i="1" s="1"/>
  <c r="Y230" i="1"/>
  <c r="X230" i="1"/>
  <c r="AZ210" i="1" l="1"/>
  <c r="BA210" i="1" s="1"/>
  <c r="AP211" i="1"/>
  <c r="AQ211" i="1"/>
  <c r="BB210" i="1"/>
  <c r="AU211" i="1" s="1"/>
  <c r="BC211" i="1" s="1"/>
  <c r="Z230" i="1"/>
  <c r="AA230" i="1" s="1"/>
  <c r="AN211" i="1"/>
  <c r="AJ221" i="1"/>
  <c r="AK221" i="1"/>
  <c r="AD222" i="1" s="1"/>
  <c r="AR211" i="1" l="1"/>
  <c r="AV211" i="1"/>
  <c r="AF222" i="1"/>
  <c r="AE222" i="1"/>
  <c r="AB230" i="1"/>
  <c r="U231" i="1" s="1"/>
  <c r="V231" i="1" s="1"/>
  <c r="W231" i="1" l="1"/>
  <c r="AW211" i="1"/>
  <c r="AH222" i="1"/>
  <c r="AG222" i="1"/>
  <c r="Y231" i="1"/>
  <c r="X231" i="1"/>
  <c r="AY211" i="1" l="1"/>
  <c r="AX211" i="1"/>
  <c r="AZ211" i="1" s="1"/>
  <c r="AS211" i="1"/>
  <c r="AM212" i="1"/>
  <c r="AO212" i="1" s="1"/>
  <c r="AI222" i="1"/>
  <c r="Z231" i="1"/>
  <c r="AA231" i="1" s="1"/>
  <c r="AP212" i="1" l="1"/>
  <c r="AQ212" i="1"/>
  <c r="BA211" i="1"/>
  <c r="BB211" i="1"/>
  <c r="AU212" i="1" s="1"/>
  <c r="BC212" i="1" s="1"/>
  <c r="AB231" i="1"/>
  <c r="U232" i="1" s="1"/>
  <c r="V232" i="1" s="1"/>
  <c r="AN212" i="1"/>
  <c r="AJ222" i="1"/>
  <c r="AK222" i="1"/>
  <c r="AD223" i="1" s="1"/>
  <c r="AR212" i="1" l="1"/>
  <c r="W232" i="1"/>
  <c r="Y232" i="1" s="1"/>
  <c r="AV212" i="1"/>
  <c r="AF223" i="1"/>
  <c r="AE223" i="1"/>
  <c r="X232" i="1"/>
  <c r="Z232" i="1" l="1"/>
  <c r="AA232" i="1" s="1"/>
  <c r="AW212" i="1"/>
  <c r="AH223" i="1"/>
  <c r="AG223" i="1"/>
  <c r="AB232" i="1"/>
  <c r="U233" i="1" s="1"/>
  <c r="AY212" i="1" l="1"/>
  <c r="AX212" i="1"/>
  <c r="AI223" i="1"/>
  <c r="AS212" i="1"/>
  <c r="AM213" i="1"/>
  <c r="AO213" i="1" s="1"/>
  <c r="V233" i="1"/>
  <c r="W233" i="1"/>
  <c r="AZ212" i="1" l="1"/>
  <c r="AP213" i="1"/>
  <c r="AQ213" i="1"/>
  <c r="AN213" i="1"/>
  <c r="AJ223" i="1"/>
  <c r="AK223" i="1"/>
  <c r="AD224" i="1" s="1"/>
  <c r="Y233" i="1"/>
  <c r="X233" i="1"/>
  <c r="AR213" i="1" l="1"/>
  <c r="BA212" i="1"/>
  <c r="BB212" i="1"/>
  <c r="AU213" i="1" s="1"/>
  <c r="BC213" i="1" s="1"/>
  <c r="Z233" i="1"/>
  <c r="AF224" i="1"/>
  <c r="AE224" i="1"/>
  <c r="AV213" i="1" l="1"/>
  <c r="AW213" i="1"/>
  <c r="AH224" i="1"/>
  <c r="AG224" i="1"/>
  <c r="AA233" i="1"/>
  <c r="AB233" i="1"/>
  <c r="U234" i="1" s="1"/>
  <c r="AY213" i="1" l="1"/>
  <c r="AX213" i="1"/>
  <c r="AI224" i="1"/>
  <c r="AS213" i="1"/>
  <c r="AM214" i="1"/>
  <c r="AO214" i="1" s="1"/>
  <c r="V234" i="1"/>
  <c r="W234" i="1"/>
  <c r="AZ213" i="1" l="1"/>
  <c r="AP214" i="1"/>
  <c r="AQ214" i="1"/>
  <c r="AN214" i="1"/>
  <c r="AJ224" i="1"/>
  <c r="AK224" i="1"/>
  <c r="AD225" i="1" s="1"/>
  <c r="Y234" i="1"/>
  <c r="X234" i="1"/>
  <c r="AR214" i="1" l="1"/>
  <c r="BA213" i="1"/>
  <c r="BB213" i="1"/>
  <c r="AU214" i="1" s="1"/>
  <c r="BC214" i="1" s="1"/>
  <c r="Z234" i="1"/>
  <c r="AF225" i="1"/>
  <c r="AE225" i="1"/>
  <c r="AV214" i="1" l="1"/>
  <c r="AW214" i="1"/>
  <c r="AH225" i="1"/>
  <c r="AG225" i="1"/>
  <c r="AA234" i="1"/>
  <c r="AB234" i="1"/>
  <c r="U235" i="1" s="1"/>
  <c r="AY214" i="1" l="1"/>
  <c r="AX214" i="1"/>
  <c r="AZ214" i="1" s="1"/>
  <c r="AI225" i="1"/>
  <c r="AS214" i="1"/>
  <c r="AM215" i="1"/>
  <c r="AO215" i="1" s="1"/>
  <c r="V235" i="1"/>
  <c r="W235" i="1"/>
  <c r="AP215" i="1" l="1"/>
  <c r="AQ215" i="1"/>
  <c r="AN215" i="1"/>
  <c r="AJ225" i="1"/>
  <c r="AK225" i="1"/>
  <c r="AD226" i="1" s="1"/>
  <c r="Y235" i="1"/>
  <c r="X235" i="1"/>
  <c r="AR215" i="1" l="1"/>
  <c r="BA214" i="1"/>
  <c r="BB214" i="1"/>
  <c r="AU215" i="1" s="1"/>
  <c r="BC215" i="1" s="1"/>
  <c r="Z235" i="1"/>
  <c r="AF226" i="1"/>
  <c r="AE226" i="1"/>
  <c r="AV215" i="1" l="1"/>
  <c r="AW215" i="1"/>
  <c r="AH226" i="1"/>
  <c r="AG226" i="1"/>
  <c r="AA235" i="1"/>
  <c r="AB235" i="1"/>
  <c r="U236" i="1" s="1"/>
  <c r="AY215" i="1" l="1"/>
  <c r="AX215" i="1"/>
  <c r="AZ215" i="1" s="1"/>
  <c r="AI226" i="1"/>
  <c r="AS215" i="1"/>
  <c r="AM216" i="1"/>
  <c r="AO216" i="1" s="1"/>
  <c r="V236" i="1"/>
  <c r="W236" i="1"/>
  <c r="BA215" i="1" l="1"/>
  <c r="AP216" i="1"/>
  <c r="AQ216" i="1"/>
  <c r="AN216" i="1"/>
  <c r="AJ226" i="1"/>
  <c r="AK226" i="1"/>
  <c r="AD227" i="1" s="1"/>
  <c r="Y236" i="1"/>
  <c r="X236" i="1"/>
  <c r="AR216" i="1" l="1"/>
  <c r="BB215" i="1"/>
  <c r="AU216" i="1" s="1"/>
  <c r="BC216" i="1" s="1"/>
  <c r="Z236" i="1"/>
  <c r="AF227" i="1"/>
  <c r="AE227" i="1"/>
  <c r="AV216" i="1" l="1"/>
  <c r="AW216" i="1"/>
  <c r="AH227" i="1"/>
  <c r="AG227" i="1"/>
  <c r="AA236" i="1"/>
  <c r="AB236" i="1"/>
  <c r="U237" i="1" s="1"/>
  <c r="AY216" i="1" l="1"/>
  <c r="AX216" i="1"/>
  <c r="AI227" i="1"/>
  <c r="AS216" i="1"/>
  <c r="AM217" i="1"/>
  <c r="AO217" i="1" s="1"/>
  <c r="V237" i="1"/>
  <c r="W237" i="1"/>
  <c r="AZ216" i="1" l="1"/>
  <c r="AP217" i="1"/>
  <c r="AQ217" i="1"/>
  <c r="AN217" i="1"/>
  <c r="AJ227" i="1"/>
  <c r="AK227" i="1"/>
  <c r="AD228" i="1" s="1"/>
  <c r="Y237" i="1"/>
  <c r="X237" i="1"/>
  <c r="AR217" i="1" l="1"/>
  <c r="BA216" i="1"/>
  <c r="BB216" i="1"/>
  <c r="AU217" i="1" s="1"/>
  <c r="BC217" i="1" s="1"/>
  <c r="Z237" i="1"/>
  <c r="AF228" i="1"/>
  <c r="AE228" i="1"/>
  <c r="AV217" i="1" l="1"/>
  <c r="AW217" i="1"/>
  <c r="AH228" i="1"/>
  <c r="AG228" i="1"/>
  <c r="AA237" i="1"/>
  <c r="AB237" i="1"/>
  <c r="U238" i="1" s="1"/>
  <c r="AY217" i="1" l="1"/>
  <c r="AX217" i="1"/>
  <c r="AZ217" i="1" s="1"/>
  <c r="AI228" i="1"/>
  <c r="AS217" i="1"/>
  <c r="AM218" i="1"/>
  <c r="AO218" i="1" s="1"/>
  <c r="W238" i="1"/>
  <c r="V238" i="1"/>
  <c r="BA217" i="1" l="1"/>
  <c r="AP218" i="1"/>
  <c r="AQ218" i="1"/>
  <c r="AN218" i="1"/>
  <c r="AJ228" i="1"/>
  <c r="AK228" i="1"/>
  <c r="AD229" i="1" s="1"/>
  <c r="Y238" i="1"/>
  <c r="X238" i="1"/>
  <c r="BB217" i="1" l="1"/>
  <c r="AU218" i="1" s="1"/>
  <c r="BC218" i="1" s="1"/>
  <c r="AR218" i="1"/>
  <c r="Z238" i="1"/>
  <c r="AF229" i="1"/>
  <c r="AE229" i="1"/>
  <c r="AV218" i="1" l="1"/>
  <c r="AW218" i="1"/>
  <c r="AH229" i="1"/>
  <c r="AG229" i="1"/>
  <c r="AA238" i="1"/>
  <c r="AB238" i="1"/>
  <c r="U239" i="1" s="1"/>
  <c r="AY218" i="1" l="1"/>
  <c r="AX218" i="1"/>
  <c r="AS218" i="1"/>
  <c r="AM219" i="1"/>
  <c r="AO219" i="1" s="1"/>
  <c r="AI229" i="1"/>
  <c r="W239" i="1"/>
  <c r="V239" i="1"/>
  <c r="AZ218" i="1" l="1"/>
  <c r="BB218" i="1" s="1"/>
  <c r="AU219" i="1" s="1"/>
  <c r="BC219" i="1" s="1"/>
  <c r="AP219" i="1"/>
  <c r="AQ219" i="1"/>
  <c r="AN219" i="1"/>
  <c r="AJ229" i="1"/>
  <c r="AK229" i="1"/>
  <c r="AD230" i="1" s="1"/>
  <c r="Y239" i="1"/>
  <c r="X239" i="1"/>
  <c r="BA218" i="1" l="1"/>
  <c r="AR219" i="1"/>
  <c r="AV219" i="1"/>
  <c r="Z239" i="1"/>
  <c r="AF230" i="1"/>
  <c r="AE230" i="1"/>
  <c r="AW219" i="1" l="1"/>
  <c r="AH230" i="1"/>
  <c r="AG230" i="1"/>
  <c r="AA239" i="1"/>
  <c r="AB239" i="1"/>
  <c r="U240" i="1" s="1"/>
  <c r="AY219" i="1" l="1"/>
  <c r="AX219" i="1"/>
  <c r="AI230" i="1"/>
  <c r="AS219" i="1"/>
  <c r="AM220" i="1"/>
  <c r="AO220" i="1" s="1"/>
  <c r="W240" i="1"/>
  <c r="V240" i="1"/>
  <c r="AZ219" i="1" l="1"/>
  <c r="AP220" i="1"/>
  <c r="AQ220" i="1"/>
  <c r="AN220" i="1"/>
  <c r="AJ230" i="1"/>
  <c r="AK230" i="1"/>
  <c r="AD231" i="1" s="1"/>
  <c r="Y240" i="1"/>
  <c r="X240" i="1"/>
  <c r="AR220" i="1" l="1"/>
  <c r="BA219" i="1"/>
  <c r="BB219" i="1"/>
  <c r="AU220" i="1" s="1"/>
  <c r="BC220" i="1" s="1"/>
  <c r="Z240" i="1"/>
  <c r="AF231" i="1"/>
  <c r="AE231" i="1"/>
  <c r="AV220" i="1" l="1"/>
  <c r="AW220" i="1"/>
  <c r="AH231" i="1"/>
  <c r="AG231" i="1"/>
  <c r="AA240" i="1"/>
  <c r="AB240" i="1"/>
  <c r="U241" i="1" s="1"/>
  <c r="AY220" i="1" l="1"/>
  <c r="AX220" i="1"/>
  <c r="AS220" i="1"/>
  <c r="AM221" i="1"/>
  <c r="AO221" i="1" s="1"/>
  <c r="AI231" i="1"/>
  <c r="V241" i="1"/>
  <c r="W241" i="1"/>
  <c r="AZ220" i="1" l="1"/>
  <c r="AP221" i="1"/>
  <c r="AQ221" i="1"/>
  <c r="AN221" i="1"/>
  <c r="AJ231" i="1"/>
  <c r="AK231" i="1"/>
  <c r="AD232" i="1" s="1"/>
  <c r="Y241" i="1"/>
  <c r="X241" i="1"/>
  <c r="AR221" i="1" l="1"/>
  <c r="BA220" i="1"/>
  <c r="BB220" i="1"/>
  <c r="AU221" i="1" s="1"/>
  <c r="BC221" i="1" s="1"/>
  <c r="Z241" i="1"/>
  <c r="AA241" i="1" s="1"/>
  <c r="AF232" i="1"/>
  <c r="AE232" i="1"/>
  <c r="AB241" i="1" l="1"/>
  <c r="U242" i="1" s="1"/>
  <c r="W242" i="1" s="1"/>
  <c r="AV221" i="1"/>
  <c r="AW221" i="1"/>
  <c r="AH232" i="1"/>
  <c r="AG232" i="1"/>
  <c r="V242" i="1" l="1"/>
  <c r="AY221" i="1"/>
  <c r="AX221" i="1"/>
  <c r="AZ221" i="1" s="1"/>
  <c r="AS221" i="1"/>
  <c r="AM222" i="1"/>
  <c r="AO222" i="1" s="1"/>
  <c r="AI232" i="1"/>
  <c r="Y242" i="1"/>
  <c r="X242" i="1"/>
  <c r="AP222" i="1" l="1"/>
  <c r="AQ222" i="1"/>
  <c r="Z242" i="1"/>
  <c r="AN222" i="1"/>
  <c r="AJ232" i="1"/>
  <c r="AK232" i="1"/>
  <c r="AD233" i="1" s="1"/>
  <c r="AR222" i="1" l="1"/>
  <c r="BA221" i="1"/>
  <c r="BB221" i="1"/>
  <c r="AU222" i="1" s="1"/>
  <c r="BC222" i="1" s="1"/>
  <c r="AF233" i="1"/>
  <c r="AE233" i="1"/>
  <c r="AA242" i="1"/>
  <c r="AB242" i="1"/>
  <c r="U243" i="1" s="1"/>
  <c r="AW222" i="1" l="1"/>
  <c r="AV222" i="1"/>
  <c r="AS222" i="1"/>
  <c r="AM223" i="1"/>
  <c r="AO223" i="1" s="1"/>
  <c r="AH233" i="1"/>
  <c r="AG233" i="1"/>
  <c r="AI233" i="1" s="1"/>
  <c r="W243" i="1"/>
  <c r="V243" i="1"/>
  <c r="AP223" i="1" l="1"/>
  <c r="AQ223" i="1"/>
  <c r="AY222" i="1"/>
  <c r="AX222" i="1"/>
  <c r="AZ222" i="1" s="1"/>
  <c r="AN223" i="1"/>
  <c r="Y243" i="1"/>
  <c r="X243" i="1"/>
  <c r="BA222" i="1" l="1"/>
  <c r="AR223" i="1"/>
  <c r="Z243" i="1"/>
  <c r="AJ233" i="1"/>
  <c r="AK233" i="1"/>
  <c r="AD234" i="1" s="1"/>
  <c r="BB222" i="1" l="1"/>
  <c r="AU223" i="1" s="1"/>
  <c r="BC223" i="1" s="1"/>
  <c r="AF234" i="1"/>
  <c r="AE234" i="1"/>
  <c r="AA243" i="1"/>
  <c r="AB243" i="1"/>
  <c r="U244" i="1" s="1"/>
  <c r="AW223" i="1" l="1"/>
  <c r="AV223" i="1"/>
  <c r="AS223" i="1"/>
  <c r="AM224" i="1"/>
  <c r="AO224" i="1" s="1"/>
  <c r="AH234" i="1"/>
  <c r="AG234" i="1"/>
  <c r="W244" i="1"/>
  <c r="V244" i="1"/>
  <c r="AY223" i="1" l="1"/>
  <c r="AX223" i="1"/>
  <c r="AZ223" i="1" s="1"/>
  <c r="AP224" i="1"/>
  <c r="AQ224" i="1"/>
  <c r="AI234" i="1"/>
  <c r="AN224" i="1"/>
  <c r="Y244" i="1"/>
  <c r="X244" i="1"/>
  <c r="AR224" i="1" l="1"/>
  <c r="BA223" i="1"/>
  <c r="BB223" i="1"/>
  <c r="AU224" i="1" s="1"/>
  <c r="BC224" i="1" s="1"/>
  <c r="Z244" i="1"/>
  <c r="AJ234" i="1"/>
  <c r="AK234" i="1"/>
  <c r="AD235" i="1" s="1"/>
  <c r="AV224" i="1" l="1"/>
  <c r="AW224" i="1"/>
  <c r="AF235" i="1"/>
  <c r="AE235" i="1"/>
  <c r="AA244" i="1"/>
  <c r="AB244" i="1"/>
  <c r="U245" i="1" s="1"/>
  <c r="AY224" i="1" l="1"/>
  <c r="AX224" i="1"/>
  <c r="AZ224" i="1" s="1"/>
  <c r="AS224" i="1"/>
  <c r="AM225" i="1"/>
  <c r="AO225" i="1" s="1"/>
  <c r="AH235" i="1"/>
  <c r="AG235" i="1"/>
  <c r="W245" i="1"/>
  <c r="V245" i="1"/>
  <c r="AP225" i="1" l="1"/>
  <c r="AQ225" i="1"/>
  <c r="AI235" i="1"/>
  <c r="AN225" i="1"/>
  <c r="Y245" i="1"/>
  <c r="X245" i="1"/>
  <c r="AR225" i="1" l="1"/>
  <c r="BA224" i="1"/>
  <c r="BB224" i="1"/>
  <c r="AU225" i="1" s="1"/>
  <c r="BC225" i="1" s="1"/>
  <c r="Z245" i="1"/>
  <c r="AJ235" i="1"/>
  <c r="AK235" i="1"/>
  <c r="AD236" i="1" s="1"/>
  <c r="AV225" i="1" l="1"/>
  <c r="AW225" i="1"/>
  <c r="AF236" i="1"/>
  <c r="AE236" i="1"/>
  <c r="AA245" i="1"/>
  <c r="AB245" i="1"/>
  <c r="U246" i="1" s="1"/>
  <c r="AY225" i="1" l="1"/>
  <c r="AX225" i="1"/>
  <c r="AZ225" i="1" s="1"/>
  <c r="AS225" i="1"/>
  <c r="AM226" i="1"/>
  <c r="AO226" i="1" s="1"/>
  <c r="AH236" i="1"/>
  <c r="AG236" i="1"/>
  <c r="W246" i="1"/>
  <c r="V246" i="1"/>
  <c r="BA225" i="1" l="1"/>
  <c r="AP226" i="1"/>
  <c r="AQ226" i="1"/>
  <c r="AI236" i="1"/>
  <c r="AN226" i="1"/>
  <c r="Y246" i="1"/>
  <c r="X246" i="1"/>
  <c r="Z246" i="1" s="1"/>
  <c r="BB225" i="1" l="1"/>
  <c r="AU226" i="1" s="1"/>
  <c r="BC226" i="1" s="1"/>
  <c r="AR226" i="1"/>
  <c r="AJ236" i="1"/>
  <c r="AK236" i="1"/>
  <c r="AD237" i="1" s="1"/>
  <c r="AV226" i="1" l="1"/>
  <c r="AW226" i="1"/>
  <c r="AY226" i="1" s="1"/>
  <c r="AS226" i="1"/>
  <c r="AM227" i="1"/>
  <c r="AO227" i="1" s="1"/>
  <c r="AF237" i="1"/>
  <c r="AE237" i="1"/>
  <c r="AA246" i="1"/>
  <c r="AB246" i="1"/>
  <c r="U247" i="1" s="1"/>
  <c r="AX226" i="1" l="1"/>
  <c r="AZ226" i="1" s="1"/>
  <c r="AP227" i="1"/>
  <c r="AQ227" i="1"/>
  <c r="AN227" i="1"/>
  <c r="AH237" i="1"/>
  <c r="AG237" i="1"/>
  <c r="W247" i="1"/>
  <c r="V247" i="1"/>
  <c r="AI237" i="1" l="1"/>
  <c r="AR227" i="1"/>
  <c r="BA226" i="1"/>
  <c r="BB226" i="1"/>
  <c r="AU227" i="1" s="1"/>
  <c r="BC227" i="1" s="1"/>
  <c r="Y247" i="1"/>
  <c r="X247" i="1"/>
  <c r="Z247" i="1" l="1"/>
  <c r="AV227" i="1"/>
  <c r="AW227" i="1"/>
  <c r="AJ237" i="1"/>
  <c r="AK237" i="1"/>
  <c r="AD238" i="1" s="1"/>
  <c r="AY227" i="1" l="1"/>
  <c r="AX227" i="1"/>
  <c r="AS227" i="1"/>
  <c r="AM228" i="1"/>
  <c r="AO228" i="1" s="1"/>
  <c r="AF238" i="1"/>
  <c r="AE238" i="1"/>
  <c r="AA247" i="1"/>
  <c r="AB247" i="1"/>
  <c r="U248" i="1" s="1"/>
  <c r="AZ227" i="1" l="1"/>
  <c r="BA227" i="1" s="1"/>
  <c r="AP228" i="1"/>
  <c r="AQ228" i="1"/>
  <c r="AN228" i="1"/>
  <c r="AH238" i="1"/>
  <c r="AG238" i="1"/>
  <c r="AI238" i="1" s="1"/>
  <c r="V248" i="1"/>
  <c r="W248" i="1"/>
  <c r="BB227" i="1" l="1"/>
  <c r="AU228" i="1" s="1"/>
  <c r="BC228" i="1" s="1"/>
  <c r="AR228" i="1"/>
  <c r="Y248" i="1"/>
  <c r="X248" i="1"/>
  <c r="Z248" i="1" s="1"/>
  <c r="AV228" i="1" l="1"/>
  <c r="AW228" i="1"/>
  <c r="AJ238" i="1"/>
  <c r="AK238" i="1"/>
  <c r="AD239" i="1" s="1"/>
  <c r="AY228" i="1" l="1"/>
  <c r="AX228" i="1"/>
  <c r="AZ228" i="1" s="1"/>
  <c r="AS228" i="1"/>
  <c r="AM229" i="1"/>
  <c r="AO229" i="1" s="1"/>
  <c r="AF239" i="1"/>
  <c r="AE239" i="1"/>
  <c r="AA248" i="1"/>
  <c r="AB248" i="1"/>
  <c r="U249" i="1" s="1"/>
  <c r="AP229" i="1" l="1"/>
  <c r="AQ229" i="1"/>
  <c r="AN229" i="1"/>
  <c r="AH239" i="1"/>
  <c r="AG239" i="1"/>
  <c r="W249" i="1"/>
  <c r="V249" i="1"/>
  <c r="AR229" i="1" l="1"/>
  <c r="BA228" i="1"/>
  <c r="BB228" i="1"/>
  <c r="AU229" i="1" s="1"/>
  <c r="BC229" i="1" s="1"/>
  <c r="AI239" i="1"/>
  <c r="Y249" i="1"/>
  <c r="X249" i="1"/>
  <c r="Z249" i="1" s="1"/>
  <c r="AV229" i="1" l="1"/>
  <c r="AW229" i="1"/>
  <c r="AJ239" i="1"/>
  <c r="AK239" i="1"/>
  <c r="AD240" i="1" s="1"/>
  <c r="AY229" i="1" l="1"/>
  <c r="AX229" i="1"/>
  <c r="AS229" i="1"/>
  <c r="AM230" i="1"/>
  <c r="AO230" i="1" s="1"/>
  <c r="AF240" i="1"/>
  <c r="AE240" i="1"/>
  <c r="AA249" i="1"/>
  <c r="AB249" i="1"/>
  <c r="U250" i="1" s="1"/>
  <c r="AZ229" i="1" l="1"/>
  <c r="AP230" i="1"/>
  <c r="AQ230" i="1"/>
  <c r="AN230" i="1"/>
  <c r="AH240" i="1"/>
  <c r="AG240" i="1"/>
  <c r="W250" i="1"/>
  <c r="V250" i="1"/>
  <c r="AI240" i="1" l="1"/>
  <c r="AR230" i="1"/>
  <c r="BA229" i="1"/>
  <c r="BB229" i="1"/>
  <c r="AU230" i="1" s="1"/>
  <c r="BC230" i="1" s="1"/>
  <c r="Y250" i="1"/>
  <c r="X250" i="1"/>
  <c r="AV230" i="1" l="1"/>
  <c r="Z250" i="1"/>
  <c r="AW230" i="1"/>
  <c r="AJ240" i="1"/>
  <c r="AK240" i="1"/>
  <c r="AD241" i="1" s="1"/>
  <c r="AY230" i="1" l="1"/>
  <c r="AX230" i="1"/>
  <c r="AS230" i="1"/>
  <c r="AM231" i="1"/>
  <c r="AO231" i="1" s="1"/>
  <c r="AF241" i="1"/>
  <c r="AE241" i="1"/>
  <c r="AA250" i="1"/>
  <c r="AB250" i="1"/>
  <c r="U251" i="1" s="1"/>
  <c r="AZ230" i="1" l="1"/>
  <c r="AP231" i="1"/>
  <c r="AQ231" i="1"/>
  <c r="AN231" i="1"/>
  <c r="AH241" i="1"/>
  <c r="AG241" i="1"/>
  <c r="AI241" i="1" s="1"/>
  <c r="W251" i="1"/>
  <c r="V251" i="1"/>
  <c r="AR231" i="1" l="1"/>
  <c r="BA230" i="1"/>
  <c r="BB230" i="1"/>
  <c r="AU231" i="1" s="1"/>
  <c r="BC231" i="1" s="1"/>
  <c r="Y251" i="1"/>
  <c r="X251" i="1"/>
  <c r="Z251" i="1" l="1"/>
  <c r="AV231" i="1"/>
  <c r="AW231" i="1"/>
  <c r="AJ241" i="1"/>
  <c r="AK241" i="1"/>
  <c r="AD242" i="1" s="1"/>
  <c r="AY231" i="1" l="1"/>
  <c r="AX231" i="1"/>
  <c r="AZ231" i="1" s="1"/>
  <c r="AS231" i="1"/>
  <c r="AM232" i="1"/>
  <c r="AO232" i="1" s="1"/>
  <c r="AF242" i="1"/>
  <c r="AE242" i="1"/>
  <c r="AA251" i="1"/>
  <c r="AB251" i="1"/>
  <c r="U252" i="1" s="1"/>
  <c r="AP232" i="1" l="1"/>
  <c r="AQ232" i="1"/>
  <c r="AN232" i="1"/>
  <c r="AH242" i="1"/>
  <c r="AG242" i="1"/>
  <c r="W252" i="1"/>
  <c r="V252" i="1"/>
  <c r="AR232" i="1" l="1"/>
  <c r="BA231" i="1"/>
  <c r="BB231" i="1"/>
  <c r="AU232" i="1" s="1"/>
  <c r="BC232" i="1" s="1"/>
  <c r="AI242" i="1"/>
  <c r="Y252" i="1"/>
  <c r="X252" i="1"/>
  <c r="Z252" i="1" s="1"/>
  <c r="AV232" i="1" l="1"/>
  <c r="AW232" i="1"/>
  <c r="AJ242" i="1"/>
  <c r="AK242" i="1"/>
  <c r="AD243" i="1" s="1"/>
  <c r="AY232" i="1" l="1"/>
  <c r="AX232" i="1"/>
  <c r="AS232" i="1"/>
  <c r="AM233" i="1"/>
  <c r="AO233" i="1" s="1"/>
  <c r="AF243" i="1"/>
  <c r="AE243" i="1"/>
  <c r="AA252" i="1"/>
  <c r="AB252" i="1"/>
  <c r="U253" i="1" s="1"/>
  <c r="AZ232" i="1" l="1"/>
  <c r="AP233" i="1"/>
  <c r="AQ233" i="1"/>
  <c r="AN233" i="1"/>
  <c r="AH243" i="1"/>
  <c r="AG243" i="1"/>
  <c r="V253" i="1"/>
  <c r="W253" i="1"/>
  <c r="AR233" i="1" l="1"/>
  <c r="BA232" i="1"/>
  <c r="BB232" i="1"/>
  <c r="AU233" i="1" s="1"/>
  <c r="BC233" i="1" s="1"/>
  <c r="AI243" i="1"/>
  <c r="Y253" i="1"/>
  <c r="X253" i="1"/>
  <c r="Z253" i="1" l="1"/>
  <c r="AV233" i="1"/>
  <c r="AW233" i="1"/>
  <c r="AJ243" i="1"/>
  <c r="AK243" i="1"/>
  <c r="AD244" i="1" s="1"/>
  <c r="AY233" i="1" l="1"/>
  <c r="AX233" i="1"/>
  <c r="AZ233" i="1" s="1"/>
  <c r="AS233" i="1"/>
  <c r="AM234" i="1"/>
  <c r="AO234" i="1" s="1"/>
  <c r="AF244" i="1"/>
  <c r="AE244" i="1"/>
  <c r="AA253" i="1"/>
  <c r="AB253" i="1"/>
  <c r="U254" i="1" s="1"/>
  <c r="BA233" i="1" l="1"/>
  <c r="AP234" i="1"/>
  <c r="AQ234" i="1"/>
  <c r="AN234" i="1"/>
  <c r="AH244" i="1"/>
  <c r="AG244" i="1"/>
  <c r="V254" i="1"/>
  <c r="W254" i="1"/>
  <c r="AR234" i="1" l="1"/>
  <c r="BB233" i="1"/>
  <c r="AU234" i="1" s="1"/>
  <c r="AI244" i="1"/>
  <c r="Y254" i="1"/>
  <c r="X254" i="1"/>
  <c r="AV234" i="1" l="1"/>
  <c r="BC234" i="1"/>
  <c r="Z254" i="1"/>
  <c r="AW234" i="1"/>
  <c r="AJ244" i="1"/>
  <c r="AK244" i="1"/>
  <c r="AD245" i="1" s="1"/>
  <c r="AY234" i="1" l="1"/>
  <c r="AX234" i="1"/>
  <c r="AS234" i="1"/>
  <c r="AM235" i="1"/>
  <c r="AO235" i="1" s="1"/>
  <c r="AF245" i="1"/>
  <c r="AE245" i="1"/>
  <c r="AA254" i="1"/>
  <c r="AB254" i="1"/>
  <c r="U255" i="1" s="1"/>
  <c r="AZ234" i="1" l="1"/>
  <c r="AP235" i="1"/>
  <c r="AQ235" i="1"/>
  <c r="AN235" i="1"/>
  <c r="AH245" i="1"/>
  <c r="AG245" i="1"/>
  <c r="V255" i="1"/>
  <c r="W255" i="1"/>
  <c r="AR235" i="1" l="1"/>
  <c r="BA234" i="1"/>
  <c r="BB234" i="1"/>
  <c r="AU235" i="1" s="1"/>
  <c r="BC235" i="1" s="1"/>
  <c r="AI245" i="1"/>
  <c r="Y255" i="1"/>
  <c r="X255" i="1"/>
  <c r="AV235" i="1" l="1"/>
  <c r="Z255" i="1"/>
  <c r="AW235" i="1"/>
  <c r="AJ245" i="1"/>
  <c r="AK245" i="1"/>
  <c r="AD246" i="1" s="1"/>
  <c r="AY235" i="1" l="1"/>
  <c r="AX235" i="1"/>
  <c r="AS235" i="1"/>
  <c r="AM236" i="1"/>
  <c r="AO236" i="1" s="1"/>
  <c r="AF246" i="1"/>
  <c r="AE246" i="1"/>
  <c r="AA255" i="1"/>
  <c r="AB255" i="1"/>
  <c r="U256" i="1" s="1"/>
  <c r="AZ235" i="1" l="1"/>
  <c r="BA235" i="1" s="1"/>
  <c r="AP236" i="1"/>
  <c r="AQ236" i="1"/>
  <c r="AN236" i="1"/>
  <c r="AH246" i="1"/>
  <c r="AG246" i="1"/>
  <c r="V256" i="1"/>
  <c r="W256" i="1"/>
  <c r="AR236" i="1" l="1"/>
  <c r="BB235" i="1"/>
  <c r="AU236" i="1" s="1"/>
  <c r="AI246" i="1"/>
  <c r="Y256" i="1"/>
  <c r="X256" i="1"/>
  <c r="AV236" i="1" l="1"/>
  <c r="BC236" i="1"/>
  <c r="Z256" i="1"/>
  <c r="AW236" i="1"/>
  <c r="AJ246" i="1"/>
  <c r="AK246" i="1"/>
  <c r="AD247" i="1" s="1"/>
  <c r="AY236" i="1" l="1"/>
  <c r="AX236" i="1"/>
  <c r="AS236" i="1"/>
  <c r="AM237" i="1"/>
  <c r="AO237" i="1" s="1"/>
  <c r="AF247" i="1"/>
  <c r="AE247" i="1"/>
  <c r="AA256" i="1"/>
  <c r="AB256" i="1"/>
  <c r="U257" i="1" s="1"/>
  <c r="AZ236" i="1" l="1"/>
  <c r="AP237" i="1"/>
  <c r="AQ237" i="1"/>
  <c r="AN237" i="1"/>
  <c r="AH247" i="1"/>
  <c r="AG247" i="1"/>
  <c r="V257" i="1"/>
  <c r="W257" i="1"/>
  <c r="AR237" i="1" l="1"/>
  <c r="BA236" i="1"/>
  <c r="BB236" i="1"/>
  <c r="AU237" i="1" s="1"/>
  <c r="BC237" i="1" s="1"/>
  <c r="AI247" i="1"/>
  <c r="Y257" i="1"/>
  <c r="X257" i="1"/>
  <c r="AV237" i="1" l="1"/>
  <c r="Z257" i="1"/>
  <c r="AB257" i="1" s="1"/>
  <c r="U258" i="1" s="1"/>
  <c r="AW237" i="1"/>
  <c r="AJ247" i="1"/>
  <c r="AK247" i="1"/>
  <c r="AD248" i="1" s="1"/>
  <c r="AY237" i="1" l="1"/>
  <c r="AX237" i="1"/>
  <c r="AA257" i="1"/>
  <c r="AS237" i="1"/>
  <c r="AM238" i="1"/>
  <c r="AO238" i="1" s="1"/>
  <c r="AF248" i="1"/>
  <c r="AE248" i="1"/>
  <c r="V258" i="1"/>
  <c r="W258" i="1"/>
  <c r="AZ237" i="1" l="1"/>
  <c r="BA237" i="1" s="1"/>
  <c r="AP238" i="1"/>
  <c r="AQ238" i="1"/>
  <c r="AN238" i="1"/>
  <c r="AH248" i="1"/>
  <c r="AG248" i="1"/>
  <c r="AI248" i="1" s="1"/>
  <c r="Y258" i="1"/>
  <c r="X258" i="1"/>
  <c r="Z258" i="1" s="1"/>
  <c r="AR238" i="1" l="1"/>
  <c r="BB237" i="1"/>
  <c r="AU238" i="1" s="1"/>
  <c r="AA258" i="1"/>
  <c r="AB258" i="1"/>
  <c r="U259" i="1" s="1"/>
  <c r="AV238" i="1" l="1"/>
  <c r="BC238" i="1"/>
  <c r="AW238" i="1"/>
  <c r="AJ248" i="1"/>
  <c r="AK248" i="1"/>
  <c r="AD249" i="1" s="1"/>
  <c r="V259" i="1"/>
  <c r="W259" i="1"/>
  <c r="AY238" i="1" l="1"/>
  <c r="AX238" i="1"/>
  <c r="AS238" i="1"/>
  <c r="AM239" i="1"/>
  <c r="AO239" i="1" s="1"/>
  <c r="AF249" i="1"/>
  <c r="AE249" i="1"/>
  <c r="Y259" i="1"/>
  <c r="X259" i="1"/>
  <c r="Z259" i="1" s="1"/>
  <c r="AZ238" i="1" l="1"/>
  <c r="AP239" i="1"/>
  <c r="AQ239" i="1"/>
  <c r="AN239" i="1"/>
  <c r="AH249" i="1"/>
  <c r="AG249" i="1"/>
  <c r="AA259" i="1"/>
  <c r="AI249" i="1" l="1"/>
  <c r="AR239" i="1"/>
  <c r="BA238" i="1"/>
  <c r="BB238" i="1"/>
  <c r="AU239" i="1" s="1"/>
  <c r="BC239" i="1" s="1"/>
  <c r="AB259" i="1"/>
  <c r="U260" i="1" s="1"/>
  <c r="W260" i="1" s="1"/>
  <c r="AV239" i="1" l="1"/>
  <c r="AW239" i="1"/>
  <c r="AJ249" i="1"/>
  <c r="AK249" i="1"/>
  <c r="AD250" i="1" s="1"/>
  <c r="V260" i="1"/>
  <c r="Y260" i="1"/>
  <c r="X260" i="1"/>
  <c r="AY239" i="1" l="1"/>
  <c r="AX239" i="1"/>
  <c r="AS239" i="1"/>
  <c r="AM240" i="1"/>
  <c r="AO240" i="1" s="1"/>
  <c r="Z260" i="1"/>
  <c r="AA260" i="1" s="1"/>
  <c r="AF250" i="1"/>
  <c r="AE250" i="1"/>
  <c r="AB260" i="1"/>
  <c r="U261" i="1" s="1"/>
  <c r="AZ239" i="1" l="1"/>
  <c r="AP240" i="1"/>
  <c r="AQ240" i="1"/>
  <c r="AN240" i="1"/>
  <c r="AH250" i="1"/>
  <c r="AG250" i="1"/>
  <c r="V261" i="1"/>
  <c r="W261" i="1"/>
  <c r="AR240" i="1" l="1"/>
  <c r="BA239" i="1"/>
  <c r="BB239" i="1"/>
  <c r="AU240" i="1" s="1"/>
  <c r="BC240" i="1" s="1"/>
  <c r="AI250" i="1"/>
  <c r="Y261" i="1"/>
  <c r="X261" i="1"/>
  <c r="AV240" i="1" l="1"/>
  <c r="Z261" i="1"/>
  <c r="AA261" i="1" s="1"/>
  <c r="AW240" i="1"/>
  <c r="AJ250" i="1"/>
  <c r="AK250" i="1"/>
  <c r="AD251" i="1" s="1"/>
  <c r="AY240" i="1" l="1"/>
  <c r="AX240" i="1"/>
  <c r="AS240" i="1"/>
  <c r="AM241" i="1"/>
  <c r="AO241" i="1" s="1"/>
  <c r="AF251" i="1"/>
  <c r="AE251" i="1"/>
  <c r="AB261" i="1"/>
  <c r="U262" i="1" s="1"/>
  <c r="V262" i="1" s="1"/>
  <c r="AZ240" i="1" l="1"/>
  <c r="AP241" i="1"/>
  <c r="AQ241" i="1"/>
  <c r="AN241" i="1"/>
  <c r="AH251" i="1"/>
  <c r="AG251" i="1"/>
  <c r="W262" i="1"/>
  <c r="AI251" i="1" l="1"/>
  <c r="AR241" i="1"/>
  <c r="BA240" i="1"/>
  <c r="BB240" i="1"/>
  <c r="AU241" i="1" s="1"/>
  <c r="BC241" i="1" s="1"/>
  <c r="Y262" i="1"/>
  <c r="X262" i="1"/>
  <c r="Z262" i="1" l="1"/>
  <c r="AA262" i="1" s="1"/>
  <c r="AV241" i="1"/>
  <c r="AW241" i="1"/>
  <c r="AJ251" i="1"/>
  <c r="AK251" i="1"/>
  <c r="AD252" i="1" s="1"/>
  <c r="AB262" i="1"/>
  <c r="U263" i="1" s="1"/>
  <c r="AY241" i="1" l="1"/>
  <c r="AX241" i="1"/>
  <c r="AS241" i="1"/>
  <c r="AM242" i="1"/>
  <c r="AO242" i="1" s="1"/>
  <c r="AF252" i="1"/>
  <c r="AE252" i="1"/>
  <c r="V263" i="1"/>
  <c r="W263" i="1"/>
  <c r="AZ241" i="1" l="1"/>
  <c r="AP242" i="1"/>
  <c r="AQ242" i="1"/>
  <c r="AN242" i="1"/>
  <c r="AH252" i="1"/>
  <c r="AG252" i="1"/>
  <c r="AI252" i="1" s="1"/>
  <c r="Y263" i="1"/>
  <c r="X263" i="1"/>
  <c r="Z263" i="1" s="1"/>
  <c r="AR242" i="1" l="1"/>
  <c r="BA241" i="1"/>
  <c r="BB241" i="1"/>
  <c r="AU242" i="1" s="1"/>
  <c r="BC242" i="1" s="1"/>
  <c r="AA263" i="1"/>
  <c r="AB263" i="1"/>
  <c r="U264" i="1" s="1"/>
  <c r="AV242" i="1" l="1"/>
  <c r="AW242" i="1"/>
  <c r="AJ252" i="1"/>
  <c r="AK252" i="1"/>
  <c r="AD253" i="1" s="1"/>
  <c r="W264" i="1"/>
  <c r="V264" i="1"/>
  <c r="AY242" i="1" l="1"/>
  <c r="AX242" i="1"/>
  <c r="AZ242" i="1" s="1"/>
  <c r="AS242" i="1"/>
  <c r="AM243" i="1"/>
  <c r="AO243" i="1" s="1"/>
  <c r="AF253" i="1"/>
  <c r="AE253" i="1"/>
  <c r="Y264" i="1"/>
  <c r="X264" i="1"/>
  <c r="Z264" i="1" s="1"/>
  <c r="BA242" i="1" l="1"/>
  <c r="AP243" i="1"/>
  <c r="AQ243" i="1"/>
  <c r="AN243" i="1"/>
  <c r="AH253" i="1"/>
  <c r="AG253" i="1"/>
  <c r="BB242" i="1" l="1"/>
  <c r="AU243" i="1" s="1"/>
  <c r="BC243" i="1" s="1"/>
  <c r="AR243" i="1"/>
  <c r="AI253" i="1"/>
  <c r="AA264" i="1"/>
  <c r="AB264" i="1"/>
  <c r="U265" i="1" s="1"/>
  <c r="AV243" i="1" l="1"/>
  <c r="AW243" i="1"/>
  <c r="AJ253" i="1"/>
  <c r="AK253" i="1"/>
  <c r="AD254" i="1" s="1"/>
  <c r="W265" i="1"/>
  <c r="V265" i="1"/>
  <c r="AY243" i="1" l="1"/>
  <c r="AX243" i="1"/>
  <c r="AS243" i="1"/>
  <c r="AM244" i="1"/>
  <c r="AO244" i="1" s="1"/>
  <c r="AF254" i="1"/>
  <c r="AE254" i="1"/>
  <c r="Y265" i="1"/>
  <c r="X265" i="1"/>
  <c r="Z265" i="1" s="1"/>
  <c r="AZ243" i="1" l="1"/>
  <c r="BA243" i="1" s="1"/>
  <c r="AP244" i="1"/>
  <c r="AQ244" i="1"/>
  <c r="AN244" i="1"/>
  <c r="AH254" i="1"/>
  <c r="AG254" i="1"/>
  <c r="AI254" i="1" s="1"/>
  <c r="AR244" i="1" l="1"/>
  <c r="BB243" i="1"/>
  <c r="AU244" i="1" s="1"/>
  <c r="AA265" i="1"/>
  <c r="AB265" i="1"/>
  <c r="U266" i="1" s="1"/>
  <c r="AV244" i="1" l="1"/>
  <c r="BC244" i="1"/>
  <c r="AW244" i="1"/>
  <c r="AJ254" i="1"/>
  <c r="AK254" i="1"/>
  <c r="AD255" i="1" s="1"/>
  <c r="W266" i="1"/>
  <c r="V266" i="1"/>
  <c r="AY244" i="1" l="1"/>
  <c r="AX244" i="1"/>
  <c r="AS244" i="1"/>
  <c r="AM245" i="1"/>
  <c r="AO245" i="1" s="1"/>
  <c r="AF255" i="1"/>
  <c r="AE255" i="1"/>
  <c r="Y266" i="1"/>
  <c r="X266" i="1"/>
  <c r="Z266" i="1" s="1"/>
  <c r="AZ244" i="1" l="1"/>
  <c r="BA244" i="1" s="1"/>
  <c r="AP245" i="1"/>
  <c r="AQ245" i="1"/>
  <c r="AN245" i="1"/>
  <c r="AH255" i="1"/>
  <c r="AG255" i="1"/>
  <c r="AR245" i="1" l="1"/>
  <c r="BB244" i="1"/>
  <c r="AU245" i="1" s="1"/>
  <c r="AI255" i="1"/>
  <c r="AA266" i="1"/>
  <c r="AB266" i="1"/>
  <c r="U267" i="1" s="1"/>
  <c r="AV245" i="1" l="1"/>
  <c r="BC245" i="1"/>
  <c r="AW245" i="1"/>
  <c r="AJ255" i="1"/>
  <c r="AK255" i="1"/>
  <c r="AD256" i="1" s="1"/>
  <c r="W267" i="1"/>
  <c r="V267" i="1"/>
  <c r="AY245" i="1" l="1"/>
  <c r="AX245" i="1"/>
  <c r="AZ245" i="1" s="1"/>
  <c r="AS245" i="1"/>
  <c r="AM246" i="1"/>
  <c r="AO246" i="1" s="1"/>
  <c r="AF256" i="1"/>
  <c r="AE256" i="1"/>
  <c r="Y267" i="1"/>
  <c r="X267" i="1"/>
  <c r="Z267" i="1" s="1"/>
  <c r="AP246" i="1" l="1"/>
  <c r="AQ246" i="1"/>
  <c r="AN246" i="1"/>
  <c r="AH256" i="1"/>
  <c r="AG256" i="1"/>
  <c r="AA267" i="1"/>
  <c r="AB267" i="1"/>
  <c r="U268" i="1" s="1"/>
  <c r="AR246" i="1" l="1"/>
  <c r="BA245" i="1"/>
  <c r="BB245" i="1"/>
  <c r="AU246" i="1" s="1"/>
  <c r="BC246" i="1" s="1"/>
  <c r="AI256" i="1"/>
  <c r="W268" i="1"/>
  <c r="V268" i="1"/>
  <c r="AV246" i="1" l="1"/>
  <c r="AW246" i="1"/>
  <c r="AJ256" i="1"/>
  <c r="AK256" i="1"/>
  <c r="AD257" i="1" s="1"/>
  <c r="Y268" i="1"/>
  <c r="X268" i="1"/>
  <c r="Z268" i="1" s="1"/>
  <c r="AY246" i="1" l="1"/>
  <c r="AX246" i="1"/>
  <c r="AS246" i="1"/>
  <c r="AM247" i="1"/>
  <c r="AO247" i="1" s="1"/>
  <c r="AF257" i="1"/>
  <c r="AE257" i="1"/>
  <c r="AZ246" i="1" l="1"/>
  <c r="BB246" i="1" s="1"/>
  <c r="AU247" i="1" s="1"/>
  <c r="BC247" i="1" s="1"/>
  <c r="AP247" i="1"/>
  <c r="AQ247" i="1"/>
  <c r="AN247" i="1"/>
  <c r="AH257" i="1"/>
  <c r="AG257" i="1"/>
  <c r="AI257" i="1" s="1"/>
  <c r="AA268" i="1"/>
  <c r="AB268" i="1"/>
  <c r="U269" i="1" s="1"/>
  <c r="BA246" i="1" l="1"/>
  <c r="AR247" i="1"/>
  <c r="AV247" i="1"/>
  <c r="V269" i="1"/>
  <c r="W269" i="1"/>
  <c r="AW247" i="1" l="1"/>
  <c r="AJ257" i="1"/>
  <c r="AK257" i="1"/>
  <c r="AD258" i="1" s="1"/>
  <c r="Y269" i="1"/>
  <c r="X269" i="1"/>
  <c r="AY247" i="1" l="1"/>
  <c r="AX247" i="1"/>
  <c r="AS247" i="1"/>
  <c r="AM248" i="1"/>
  <c r="AO248" i="1" s="1"/>
  <c r="Z269" i="1"/>
  <c r="AA269" i="1" s="1"/>
  <c r="AF258" i="1"/>
  <c r="AE258" i="1"/>
  <c r="AZ247" i="1" l="1"/>
  <c r="BA247" i="1" s="1"/>
  <c r="AP248" i="1"/>
  <c r="AQ248" i="1"/>
  <c r="AB269" i="1"/>
  <c r="U270" i="1" s="1"/>
  <c r="V270" i="1" s="1"/>
  <c r="AN248" i="1"/>
  <c r="AH258" i="1"/>
  <c r="AG258" i="1"/>
  <c r="AR248" i="1" l="1"/>
  <c r="W270" i="1"/>
  <c r="Y270" i="1" s="1"/>
  <c r="BB247" i="1"/>
  <c r="AU248" i="1" s="1"/>
  <c r="AI258" i="1"/>
  <c r="X270" i="1" l="1"/>
  <c r="AV248" i="1"/>
  <c r="BC248" i="1"/>
  <c r="Z270" i="1"/>
  <c r="AW248" i="1"/>
  <c r="AJ258" i="1"/>
  <c r="AK258" i="1"/>
  <c r="AD259" i="1" s="1"/>
  <c r="AY248" i="1" l="1"/>
  <c r="AX248" i="1"/>
  <c r="AZ248" i="1" s="1"/>
  <c r="AS248" i="1"/>
  <c r="AM249" i="1"/>
  <c r="AO249" i="1" s="1"/>
  <c r="AF259" i="1"/>
  <c r="AE259" i="1"/>
  <c r="AA270" i="1"/>
  <c r="AB270" i="1"/>
  <c r="U271" i="1" s="1"/>
  <c r="AP249" i="1" l="1"/>
  <c r="AQ249" i="1"/>
  <c r="AN249" i="1"/>
  <c r="AH259" i="1"/>
  <c r="AG259" i="1"/>
  <c r="W271" i="1"/>
  <c r="V271" i="1"/>
  <c r="AI259" i="1" l="1"/>
  <c r="AR249" i="1"/>
  <c r="BA248" i="1"/>
  <c r="BB248" i="1"/>
  <c r="AU249" i="1" s="1"/>
  <c r="BC249" i="1" s="1"/>
  <c r="Y271" i="1"/>
  <c r="X271" i="1"/>
  <c r="AV249" i="1" l="1"/>
  <c r="Z271" i="1"/>
  <c r="AW249" i="1"/>
  <c r="AJ259" i="1"/>
  <c r="AK259" i="1"/>
  <c r="AD260" i="1" s="1"/>
  <c r="AY249" i="1" l="1"/>
  <c r="AX249" i="1"/>
  <c r="AS249" i="1"/>
  <c r="AM250" i="1"/>
  <c r="AO250" i="1" s="1"/>
  <c r="AF260" i="1"/>
  <c r="AE260" i="1"/>
  <c r="AA271" i="1"/>
  <c r="AB271" i="1"/>
  <c r="U272" i="1" s="1"/>
  <c r="AZ249" i="1" l="1"/>
  <c r="AP250" i="1"/>
  <c r="AQ250" i="1"/>
  <c r="AN250" i="1"/>
  <c r="AH260" i="1"/>
  <c r="AG260" i="1"/>
  <c r="V272" i="1"/>
  <c r="W272" i="1"/>
  <c r="AI260" i="1" l="1"/>
  <c r="AR250" i="1"/>
  <c r="BA249" i="1"/>
  <c r="BB249" i="1"/>
  <c r="AU250" i="1" s="1"/>
  <c r="BC250" i="1" s="1"/>
  <c r="Y272" i="1"/>
  <c r="X272" i="1"/>
  <c r="AV250" i="1" l="1"/>
  <c r="AW250" i="1"/>
  <c r="Z272" i="1"/>
  <c r="AA272" i="1" s="1"/>
  <c r="AJ260" i="1"/>
  <c r="AK260" i="1"/>
  <c r="AD261" i="1" s="1"/>
  <c r="AY250" i="1" l="1"/>
  <c r="AX250" i="1"/>
  <c r="AB272" i="1"/>
  <c r="U273" i="1" s="1"/>
  <c r="V273" i="1" s="1"/>
  <c r="AS250" i="1"/>
  <c r="AM251" i="1"/>
  <c r="AO251" i="1" s="1"/>
  <c r="AF261" i="1"/>
  <c r="AE261" i="1"/>
  <c r="AZ250" i="1" l="1"/>
  <c r="W273" i="1"/>
  <c r="X273" i="1" s="1"/>
  <c r="AP251" i="1"/>
  <c r="AQ251" i="1"/>
  <c r="AN251" i="1"/>
  <c r="AH261" i="1"/>
  <c r="AG261" i="1"/>
  <c r="Y273" i="1" l="1"/>
  <c r="AR251" i="1"/>
  <c r="BA250" i="1"/>
  <c r="BB250" i="1"/>
  <c r="AU251" i="1" s="1"/>
  <c r="BC251" i="1" s="1"/>
  <c r="Z273" i="1"/>
  <c r="AA273" i="1" s="1"/>
  <c r="AI261" i="1"/>
  <c r="AK261" i="1" s="1"/>
  <c r="AD262" i="1" s="1"/>
  <c r="AB273" i="1" l="1"/>
  <c r="U274" i="1" s="1"/>
  <c r="W274" i="1" s="1"/>
  <c r="AV251" i="1"/>
  <c r="AJ261" i="1"/>
  <c r="AW251" i="1"/>
  <c r="AF262" i="1"/>
  <c r="AE262" i="1"/>
  <c r="V274" i="1" l="1"/>
  <c r="AY251" i="1"/>
  <c r="AX251" i="1"/>
  <c r="AS251" i="1"/>
  <c r="AM252" i="1"/>
  <c r="AO252" i="1" s="1"/>
  <c r="AH262" i="1"/>
  <c r="AG262" i="1"/>
  <c r="Y274" i="1"/>
  <c r="X274" i="1"/>
  <c r="AZ251" i="1" l="1"/>
  <c r="BA251" i="1" s="1"/>
  <c r="Z274" i="1"/>
  <c r="AA274" i="1" s="1"/>
  <c r="AP252" i="1"/>
  <c r="AQ252" i="1"/>
  <c r="AI262" i="1"/>
  <c r="AN252" i="1"/>
  <c r="AB274" i="1"/>
  <c r="U275" i="1" s="1"/>
  <c r="AR252" i="1" l="1"/>
  <c r="BB251" i="1"/>
  <c r="AU252" i="1" s="1"/>
  <c r="AJ262" i="1"/>
  <c r="AK262" i="1"/>
  <c r="AD263" i="1" s="1"/>
  <c r="W275" i="1"/>
  <c r="V275" i="1"/>
  <c r="AV252" i="1" l="1"/>
  <c r="BC252" i="1"/>
  <c r="AW252" i="1"/>
  <c r="AF263" i="1"/>
  <c r="AE263" i="1"/>
  <c r="Y275" i="1"/>
  <c r="X275" i="1"/>
  <c r="AY252" i="1" l="1"/>
  <c r="AX252" i="1"/>
  <c r="Z275" i="1"/>
  <c r="AB275" i="1" s="1"/>
  <c r="U276" i="1" s="1"/>
  <c r="AS252" i="1"/>
  <c r="AM253" i="1"/>
  <c r="AO253" i="1" s="1"/>
  <c r="AH263" i="1"/>
  <c r="AG263" i="1"/>
  <c r="AA275" i="1"/>
  <c r="AZ252" i="1" l="1"/>
  <c r="AP253" i="1"/>
  <c r="AQ253" i="1"/>
  <c r="AI263" i="1"/>
  <c r="AN253" i="1"/>
  <c r="W276" i="1"/>
  <c r="V276" i="1"/>
  <c r="AR253" i="1" l="1"/>
  <c r="BA252" i="1"/>
  <c r="BB252" i="1"/>
  <c r="AU253" i="1" s="1"/>
  <c r="BC253" i="1" s="1"/>
  <c r="AJ263" i="1"/>
  <c r="AK263" i="1"/>
  <c r="AD264" i="1" s="1"/>
  <c r="Y276" i="1"/>
  <c r="X276" i="1"/>
  <c r="AV253" i="1" l="1"/>
  <c r="AW253" i="1"/>
  <c r="Z276" i="1"/>
  <c r="AF264" i="1"/>
  <c r="AE264" i="1"/>
  <c r="AY253" i="1" l="1"/>
  <c r="AX253" i="1"/>
  <c r="AS253" i="1"/>
  <c r="AM254" i="1"/>
  <c r="AO254" i="1" s="1"/>
  <c r="AH264" i="1"/>
  <c r="AG264" i="1"/>
  <c r="AI264" i="1" s="1"/>
  <c r="AA276" i="1"/>
  <c r="AB276" i="1"/>
  <c r="U277" i="1" s="1"/>
  <c r="AZ253" i="1" l="1"/>
  <c r="AP254" i="1"/>
  <c r="AQ254" i="1"/>
  <c r="AN254" i="1"/>
  <c r="W277" i="1"/>
  <c r="V277" i="1"/>
  <c r="AR254" i="1" l="1"/>
  <c r="BA253" i="1"/>
  <c r="BB253" i="1"/>
  <c r="AU254" i="1" s="1"/>
  <c r="BC254" i="1" s="1"/>
  <c r="AJ264" i="1"/>
  <c r="AK264" i="1"/>
  <c r="AD265" i="1" s="1"/>
  <c r="Y277" i="1"/>
  <c r="X277" i="1"/>
  <c r="AV254" i="1" l="1"/>
  <c r="AW254" i="1"/>
  <c r="Z277" i="1"/>
  <c r="AF265" i="1"/>
  <c r="AE265" i="1"/>
  <c r="AY254" i="1" l="1"/>
  <c r="AX254" i="1"/>
  <c r="AS254" i="1"/>
  <c r="AM255" i="1"/>
  <c r="AO255" i="1" s="1"/>
  <c r="AH265" i="1"/>
  <c r="AG265" i="1"/>
  <c r="AA277" i="1"/>
  <c r="AB277" i="1"/>
  <c r="U278" i="1" s="1"/>
  <c r="AZ254" i="1" l="1"/>
  <c r="AP255" i="1"/>
  <c r="AQ255" i="1"/>
  <c r="AI265" i="1"/>
  <c r="AN255" i="1"/>
  <c r="W278" i="1"/>
  <c r="V278" i="1"/>
  <c r="AR255" i="1" l="1"/>
  <c r="BA254" i="1"/>
  <c r="BB254" i="1"/>
  <c r="AU255" i="1" s="1"/>
  <c r="BC255" i="1" s="1"/>
  <c r="AJ265" i="1"/>
  <c r="AK265" i="1"/>
  <c r="AD266" i="1" s="1"/>
  <c r="Y278" i="1"/>
  <c r="X278" i="1"/>
  <c r="AV255" i="1" l="1"/>
  <c r="AW255" i="1"/>
  <c r="Z278" i="1"/>
  <c r="AF266" i="1"/>
  <c r="AE266" i="1"/>
  <c r="AY255" i="1" l="1"/>
  <c r="AX255" i="1"/>
  <c r="AS255" i="1"/>
  <c r="AM256" i="1"/>
  <c r="AO256" i="1" s="1"/>
  <c r="AH266" i="1"/>
  <c r="AG266" i="1"/>
  <c r="AA278" i="1"/>
  <c r="AB278" i="1"/>
  <c r="U279" i="1" s="1"/>
  <c r="AZ255" i="1" l="1"/>
  <c r="AP256" i="1"/>
  <c r="AQ256" i="1"/>
  <c r="AI266" i="1"/>
  <c r="AN256" i="1"/>
  <c r="V279" i="1"/>
  <c r="W279" i="1"/>
  <c r="AR256" i="1" l="1"/>
  <c r="BA255" i="1"/>
  <c r="BB255" i="1"/>
  <c r="AU256" i="1" s="1"/>
  <c r="BC256" i="1" s="1"/>
  <c r="AJ266" i="1"/>
  <c r="AK266" i="1"/>
  <c r="AD267" i="1" s="1"/>
  <c r="Y279" i="1"/>
  <c r="X279" i="1"/>
  <c r="AV256" i="1" l="1"/>
  <c r="AW256" i="1"/>
  <c r="Z279" i="1"/>
  <c r="AF267" i="1"/>
  <c r="AE267" i="1"/>
  <c r="AY256" i="1" l="1"/>
  <c r="AX256" i="1"/>
  <c r="AS256" i="1"/>
  <c r="AM257" i="1"/>
  <c r="AO257" i="1" s="1"/>
  <c r="AH267" i="1"/>
  <c r="AG267" i="1"/>
  <c r="AA279" i="1"/>
  <c r="AB279" i="1"/>
  <c r="U280" i="1" s="1"/>
  <c r="AZ256" i="1" l="1"/>
  <c r="BB256" i="1" s="1"/>
  <c r="AU257" i="1" s="1"/>
  <c r="BC257" i="1" s="1"/>
  <c r="AP257" i="1"/>
  <c r="AQ257" i="1"/>
  <c r="AN257" i="1"/>
  <c r="AI267" i="1"/>
  <c r="V280" i="1"/>
  <c r="W280" i="1"/>
  <c r="AR257" i="1" l="1"/>
  <c r="BA256" i="1"/>
  <c r="AV257" i="1"/>
  <c r="AJ267" i="1"/>
  <c r="AK267" i="1"/>
  <c r="AD268" i="1" s="1"/>
  <c r="Y280" i="1"/>
  <c r="X280" i="1"/>
  <c r="AW257" i="1" l="1"/>
  <c r="Z280" i="1"/>
  <c r="AF268" i="1"/>
  <c r="AE268" i="1"/>
  <c r="AY257" i="1" l="1"/>
  <c r="AX257" i="1"/>
  <c r="AS257" i="1"/>
  <c r="AM258" i="1"/>
  <c r="AO258" i="1" s="1"/>
  <c r="AH268" i="1"/>
  <c r="AG268" i="1"/>
  <c r="AA280" i="1"/>
  <c r="AB280" i="1"/>
  <c r="U281" i="1" s="1"/>
  <c r="AZ257" i="1" l="1"/>
  <c r="BB257" i="1" s="1"/>
  <c r="AU258" i="1" s="1"/>
  <c r="BC258" i="1" s="1"/>
  <c r="AP258" i="1"/>
  <c r="AQ258" i="1"/>
  <c r="AI268" i="1"/>
  <c r="AN258" i="1"/>
  <c r="V281" i="1"/>
  <c r="W281" i="1"/>
  <c r="AR258" i="1" l="1"/>
  <c r="BA257" i="1"/>
  <c r="AV258" i="1"/>
  <c r="AJ268" i="1"/>
  <c r="AK268" i="1"/>
  <c r="AD269" i="1" s="1"/>
  <c r="Y281" i="1"/>
  <c r="X281" i="1"/>
  <c r="AW258" i="1" l="1"/>
  <c r="Z281" i="1"/>
  <c r="AF269" i="1"/>
  <c r="AE269" i="1"/>
  <c r="AY258" i="1" l="1"/>
  <c r="AX258" i="1"/>
  <c r="AZ258" i="1" s="1"/>
  <c r="AS258" i="1"/>
  <c r="AM259" i="1"/>
  <c r="AO259" i="1" s="1"/>
  <c r="AH269" i="1"/>
  <c r="AG269" i="1"/>
  <c r="AI269" i="1" s="1"/>
  <c r="AA281" i="1"/>
  <c r="AB281" i="1"/>
  <c r="U282" i="1" s="1"/>
  <c r="AP259" i="1" l="1"/>
  <c r="AQ259" i="1"/>
  <c r="AN259" i="1"/>
  <c r="W282" i="1"/>
  <c r="V282" i="1"/>
  <c r="AR259" i="1" l="1"/>
  <c r="BA258" i="1"/>
  <c r="BB258" i="1"/>
  <c r="AU259" i="1" s="1"/>
  <c r="BC259" i="1" s="1"/>
  <c r="AJ269" i="1"/>
  <c r="AK269" i="1"/>
  <c r="AD270" i="1" s="1"/>
  <c r="Y282" i="1"/>
  <c r="X282" i="1"/>
  <c r="AV259" i="1" l="1"/>
  <c r="AW259" i="1"/>
  <c r="Z282" i="1"/>
  <c r="AF270" i="1"/>
  <c r="AE270" i="1"/>
  <c r="AY259" i="1" l="1"/>
  <c r="AX259" i="1"/>
  <c r="AS259" i="1"/>
  <c r="AM260" i="1"/>
  <c r="AO260" i="1" s="1"/>
  <c r="AH270" i="1"/>
  <c r="AG270" i="1"/>
  <c r="AA282" i="1"/>
  <c r="AB282" i="1"/>
  <c r="U283" i="1" s="1"/>
  <c r="AZ259" i="1" l="1"/>
  <c r="AP260" i="1"/>
  <c r="AQ260" i="1"/>
  <c r="AI270" i="1"/>
  <c r="AN260" i="1"/>
  <c r="V283" i="1"/>
  <c r="W283" i="1"/>
  <c r="AR260" i="1" l="1"/>
  <c r="BA259" i="1"/>
  <c r="BB259" i="1"/>
  <c r="AU260" i="1" s="1"/>
  <c r="BC260" i="1" s="1"/>
  <c r="AJ270" i="1"/>
  <c r="AK270" i="1"/>
  <c r="AD271" i="1" s="1"/>
  <c r="Y283" i="1"/>
  <c r="X283" i="1"/>
  <c r="AV260" i="1" l="1"/>
  <c r="AW260" i="1"/>
  <c r="Z283" i="1"/>
  <c r="AA283" i="1" s="1"/>
  <c r="AF271" i="1"/>
  <c r="AE271" i="1"/>
  <c r="AY260" i="1" l="1"/>
  <c r="AX260" i="1"/>
  <c r="AS260" i="1"/>
  <c r="AM261" i="1"/>
  <c r="AO261" i="1" s="1"/>
  <c r="AH271" i="1"/>
  <c r="AG271" i="1"/>
  <c r="AB283" i="1"/>
  <c r="U284" i="1" s="1"/>
  <c r="W284" i="1" s="1"/>
  <c r="AZ260" i="1" l="1"/>
  <c r="BA260" i="1" s="1"/>
  <c r="AP261" i="1"/>
  <c r="AQ261" i="1"/>
  <c r="AI271" i="1"/>
  <c r="AN261" i="1"/>
  <c r="V284" i="1"/>
  <c r="Y284" i="1"/>
  <c r="X284" i="1"/>
  <c r="AR261" i="1" l="1"/>
  <c r="BB260" i="1"/>
  <c r="AU261" i="1" s="1"/>
  <c r="BC261" i="1" s="1"/>
  <c r="Z284" i="1"/>
  <c r="AJ271" i="1"/>
  <c r="AK271" i="1"/>
  <c r="AD272" i="1" s="1"/>
  <c r="AV261" i="1" l="1"/>
  <c r="AW261" i="1"/>
  <c r="AF272" i="1"/>
  <c r="AE272" i="1"/>
  <c r="AA284" i="1"/>
  <c r="AB284" i="1"/>
  <c r="U285" i="1" s="1"/>
  <c r="AY261" i="1" l="1"/>
  <c r="AX261" i="1"/>
  <c r="AS261" i="1"/>
  <c r="AM262" i="1"/>
  <c r="AO262" i="1" s="1"/>
  <c r="AH272" i="1"/>
  <c r="AG272" i="1"/>
  <c r="W285" i="1"/>
  <c r="V285" i="1"/>
  <c r="AZ261" i="1" l="1"/>
  <c r="BA261" i="1" s="1"/>
  <c r="AP262" i="1"/>
  <c r="AQ262" i="1"/>
  <c r="AN262" i="1"/>
  <c r="AI272" i="1"/>
  <c r="Y285" i="1"/>
  <c r="X285" i="1"/>
  <c r="AR262" i="1" l="1"/>
  <c r="BB261" i="1"/>
  <c r="AU262" i="1" s="1"/>
  <c r="BC262" i="1" s="1"/>
  <c r="Z285" i="1"/>
  <c r="AJ272" i="1"/>
  <c r="AK272" i="1"/>
  <c r="AD273" i="1" s="1"/>
  <c r="AV262" i="1" l="1"/>
  <c r="AW262" i="1"/>
  <c r="AF273" i="1"/>
  <c r="AE273" i="1"/>
  <c r="AA285" i="1"/>
  <c r="AB285" i="1"/>
  <c r="U286" i="1" s="1"/>
  <c r="AY262" i="1" l="1"/>
  <c r="AX262" i="1"/>
  <c r="AS262" i="1"/>
  <c r="AM263" i="1"/>
  <c r="AO263" i="1" s="1"/>
  <c r="AH273" i="1"/>
  <c r="AG273" i="1"/>
  <c r="V286" i="1"/>
  <c r="W286" i="1"/>
  <c r="AZ262" i="1" l="1"/>
  <c r="AP263" i="1"/>
  <c r="AQ263" i="1"/>
  <c r="AI273" i="1"/>
  <c r="AN263" i="1"/>
  <c r="Y286" i="1"/>
  <c r="X286" i="1"/>
  <c r="AR263" i="1" l="1"/>
  <c r="BA262" i="1"/>
  <c r="BB262" i="1"/>
  <c r="AU263" i="1" s="1"/>
  <c r="BC263" i="1" s="1"/>
  <c r="Z286" i="1"/>
  <c r="AJ273" i="1"/>
  <c r="AK273" i="1"/>
  <c r="AD274" i="1" s="1"/>
  <c r="AV263" i="1" l="1"/>
  <c r="AW263" i="1"/>
  <c r="AF274" i="1"/>
  <c r="AE274" i="1"/>
  <c r="AA286" i="1"/>
  <c r="AB286" i="1"/>
  <c r="U287" i="1" s="1"/>
  <c r="AY263" i="1" l="1"/>
  <c r="AX263" i="1"/>
  <c r="AS263" i="1"/>
  <c r="AM264" i="1"/>
  <c r="AO264" i="1" s="1"/>
  <c r="AH274" i="1"/>
  <c r="AG274" i="1"/>
  <c r="V287" i="1"/>
  <c r="W287" i="1"/>
  <c r="AZ263" i="1" l="1"/>
  <c r="AP264" i="1"/>
  <c r="AQ264" i="1"/>
  <c r="AI274" i="1"/>
  <c r="AN264" i="1"/>
  <c r="Y287" i="1"/>
  <c r="X287" i="1"/>
  <c r="Z287" i="1" s="1"/>
  <c r="AR264" i="1" l="1"/>
  <c r="BA263" i="1"/>
  <c r="BB263" i="1"/>
  <c r="AU264" i="1" s="1"/>
  <c r="BC264" i="1" s="1"/>
  <c r="AJ274" i="1"/>
  <c r="AK274" i="1"/>
  <c r="AD275" i="1" s="1"/>
  <c r="AV264" i="1" l="1"/>
  <c r="AW264" i="1"/>
  <c r="AF275" i="1"/>
  <c r="AE275" i="1"/>
  <c r="AA287" i="1"/>
  <c r="AB287" i="1"/>
  <c r="U288" i="1" s="1"/>
  <c r="AY264" i="1" l="1"/>
  <c r="AX264" i="1"/>
  <c r="AS264" i="1"/>
  <c r="AM265" i="1"/>
  <c r="AO265" i="1" s="1"/>
  <c r="AH275" i="1"/>
  <c r="AG275" i="1"/>
  <c r="V288" i="1"/>
  <c r="W288" i="1"/>
  <c r="AZ264" i="1" l="1"/>
  <c r="AP265" i="1"/>
  <c r="AQ265" i="1"/>
  <c r="AN265" i="1"/>
  <c r="AI275" i="1"/>
  <c r="Y288" i="1"/>
  <c r="X288" i="1"/>
  <c r="AR265" i="1" l="1"/>
  <c r="BA264" i="1"/>
  <c r="BB264" i="1"/>
  <c r="AU265" i="1" s="1"/>
  <c r="BC265" i="1" s="1"/>
  <c r="Z288" i="1"/>
  <c r="AA288" i="1" s="1"/>
  <c r="AJ275" i="1"/>
  <c r="AK275" i="1"/>
  <c r="AD276" i="1" s="1"/>
  <c r="AV265" i="1" l="1"/>
  <c r="AW265" i="1"/>
  <c r="AF276" i="1"/>
  <c r="AE276" i="1"/>
  <c r="AB288" i="1"/>
  <c r="U289" i="1" s="1"/>
  <c r="W289" i="1" s="1"/>
  <c r="AY265" i="1" l="1"/>
  <c r="AX265" i="1"/>
  <c r="AS265" i="1"/>
  <c r="AM266" i="1"/>
  <c r="AO266" i="1" s="1"/>
  <c r="AH276" i="1"/>
  <c r="AG276" i="1"/>
  <c r="V289" i="1"/>
  <c r="Y289" i="1"/>
  <c r="X289" i="1"/>
  <c r="AZ265" i="1" l="1"/>
  <c r="BB265" i="1" s="1"/>
  <c r="AU266" i="1" s="1"/>
  <c r="BC266" i="1" s="1"/>
  <c r="AP266" i="1"/>
  <c r="AQ266" i="1"/>
  <c r="AI276" i="1"/>
  <c r="AN266" i="1"/>
  <c r="Z289" i="1"/>
  <c r="BA265" i="1" l="1"/>
  <c r="AR266" i="1"/>
  <c r="AV266" i="1"/>
  <c r="AJ276" i="1"/>
  <c r="AK276" i="1"/>
  <c r="AD277" i="1" s="1"/>
  <c r="AA289" i="1"/>
  <c r="AB289" i="1"/>
  <c r="U290" i="1" s="1"/>
  <c r="AW266" i="1" l="1"/>
  <c r="AF277" i="1"/>
  <c r="AE277" i="1"/>
  <c r="W290" i="1"/>
  <c r="V290" i="1"/>
  <c r="AY266" i="1" l="1"/>
  <c r="AX266" i="1"/>
  <c r="AS266" i="1"/>
  <c r="AM267" i="1"/>
  <c r="AO267" i="1" s="1"/>
  <c r="AH277" i="1"/>
  <c r="AG277" i="1"/>
  <c r="Y290" i="1"/>
  <c r="X290" i="1"/>
  <c r="Z290" i="1" s="1"/>
  <c r="AZ266" i="1" l="1"/>
  <c r="AP267" i="1"/>
  <c r="AQ267" i="1"/>
  <c r="AI277" i="1"/>
  <c r="AK277" i="1" s="1"/>
  <c r="AD278" i="1" s="1"/>
  <c r="AN267" i="1"/>
  <c r="AA290" i="1"/>
  <c r="AB290" i="1"/>
  <c r="U291" i="1" s="1"/>
  <c r="AR267" i="1" l="1"/>
  <c r="BA266" i="1"/>
  <c r="BB266" i="1"/>
  <c r="AU267" i="1" s="1"/>
  <c r="BC267" i="1" s="1"/>
  <c r="AJ277" i="1"/>
  <c r="AF278" i="1"/>
  <c r="AE278" i="1"/>
  <c r="W291" i="1"/>
  <c r="V291" i="1"/>
  <c r="AV267" i="1" l="1"/>
  <c r="AW267" i="1"/>
  <c r="AH278" i="1"/>
  <c r="AG278" i="1"/>
  <c r="Y291" i="1"/>
  <c r="X291" i="1"/>
  <c r="AY267" i="1" l="1"/>
  <c r="AX267" i="1"/>
  <c r="AZ267" i="1" s="1"/>
  <c r="Z291" i="1"/>
  <c r="AS267" i="1"/>
  <c r="AM268" i="1"/>
  <c r="AO268" i="1" s="1"/>
  <c r="AI278" i="1"/>
  <c r="AK278" i="1" s="1"/>
  <c r="AD279" i="1" s="1"/>
  <c r="AA291" i="1"/>
  <c r="AB291" i="1"/>
  <c r="U292" i="1" s="1"/>
  <c r="AP268" i="1" l="1"/>
  <c r="AQ268" i="1"/>
  <c r="AJ278" i="1"/>
  <c r="AN268" i="1"/>
  <c r="AF279" i="1"/>
  <c r="AE279" i="1"/>
  <c r="W292" i="1"/>
  <c r="V292" i="1"/>
  <c r="AR268" i="1" l="1"/>
  <c r="BA267" i="1"/>
  <c r="BB267" i="1"/>
  <c r="AU268" i="1" s="1"/>
  <c r="BC268" i="1" s="1"/>
  <c r="AH279" i="1"/>
  <c r="AG279" i="1"/>
  <c r="Y292" i="1"/>
  <c r="X292" i="1"/>
  <c r="Z292" i="1" s="1"/>
  <c r="AV268" i="1" l="1"/>
  <c r="AI279" i="1"/>
  <c r="AJ279" i="1" s="1"/>
  <c r="AW268" i="1"/>
  <c r="AA292" i="1"/>
  <c r="AB292" i="1"/>
  <c r="U293" i="1" s="1"/>
  <c r="AY268" i="1" l="1"/>
  <c r="AX268" i="1"/>
  <c r="AK279" i="1"/>
  <c r="AD280" i="1" s="1"/>
  <c r="AF280" i="1" s="1"/>
  <c r="AS268" i="1"/>
  <c r="AM269" i="1"/>
  <c r="AO269" i="1" s="1"/>
  <c r="W293" i="1"/>
  <c r="V293" i="1"/>
  <c r="AZ268" i="1" l="1"/>
  <c r="BA268" i="1" s="1"/>
  <c r="AE280" i="1"/>
  <c r="AP269" i="1"/>
  <c r="AQ269" i="1"/>
  <c r="AN269" i="1"/>
  <c r="AH280" i="1"/>
  <c r="AG280" i="1"/>
  <c r="AI280" i="1" s="1"/>
  <c r="Y293" i="1"/>
  <c r="X293" i="1"/>
  <c r="AR269" i="1" l="1"/>
  <c r="BB268" i="1"/>
  <c r="AU269" i="1" s="1"/>
  <c r="BC269" i="1" s="1"/>
  <c r="Z293" i="1"/>
  <c r="AB293" i="1" s="1"/>
  <c r="U294" i="1" s="1"/>
  <c r="AJ280" i="1"/>
  <c r="AK280" i="1"/>
  <c r="AD281" i="1" s="1"/>
  <c r="AV269" i="1" l="1"/>
  <c r="AA293" i="1"/>
  <c r="AW269" i="1"/>
  <c r="AF281" i="1"/>
  <c r="AE281" i="1"/>
  <c r="W294" i="1"/>
  <c r="V294" i="1"/>
  <c r="AY269" i="1" l="1"/>
  <c r="AX269" i="1"/>
  <c r="AS269" i="1"/>
  <c r="AM270" i="1"/>
  <c r="AO270" i="1" s="1"/>
  <c r="AH281" i="1"/>
  <c r="AG281" i="1"/>
  <c r="Y294" i="1"/>
  <c r="X294" i="1"/>
  <c r="AZ269" i="1" l="1"/>
  <c r="BB269" i="1" s="1"/>
  <c r="AU270" i="1" s="1"/>
  <c r="BC270" i="1" s="1"/>
  <c r="AP270" i="1"/>
  <c r="AQ270" i="1"/>
  <c r="Z294" i="1"/>
  <c r="AA294" i="1" s="1"/>
  <c r="AI281" i="1"/>
  <c r="AN270" i="1"/>
  <c r="AB294" i="1" l="1"/>
  <c r="U295" i="1" s="1"/>
  <c r="BA269" i="1"/>
  <c r="AR270" i="1"/>
  <c r="AV270" i="1"/>
  <c r="AJ281" i="1"/>
  <c r="AK281" i="1"/>
  <c r="AD282" i="1" s="1"/>
  <c r="W295" i="1"/>
  <c r="V295" i="1"/>
  <c r="AW270" i="1" l="1"/>
  <c r="AF282" i="1"/>
  <c r="AE282" i="1"/>
  <c r="Y295" i="1"/>
  <c r="X295" i="1"/>
  <c r="AY270" i="1" l="1"/>
  <c r="AX270" i="1"/>
  <c r="AZ270" i="1" s="1"/>
  <c r="AS270" i="1"/>
  <c r="AM271" i="1"/>
  <c r="AO271" i="1" s="1"/>
  <c r="Z295" i="1"/>
  <c r="AH282" i="1"/>
  <c r="AG282" i="1"/>
  <c r="AP271" i="1" l="1"/>
  <c r="AQ271" i="1"/>
  <c r="AN271" i="1"/>
  <c r="AI282" i="1"/>
  <c r="AA295" i="1"/>
  <c r="AB295" i="1"/>
  <c r="U296" i="1" s="1"/>
  <c r="AR271" i="1" l="1"/>
  <c r="BA270" i="1"/>
  <c r="BB270" i="1"/>
  <c r="AU271" i="1" s="1"/>
  <c r="BC271" i="1" s="1"/>
  <c r="AJ282" i="1"/>
  <c r="AK282" i="1"/>
  <c r="AD283" i="1" s="1"/>
  <c r="W296" i="1"/>
  <c r="V296" i="1"/>
  <c r="AV271" i="1" l="1"/>
  <c r="AW271" i="1"/>
  <c r="AF283" i="1"/>
  <c r="AE283" i="1"/>
  <c r="Y296" i="1"/>
  <c r="X296" i="1"/>
  <c r="AY271" i="1" l="1"/>
  <c r="AX271" i="1"/>
  <c r="Z296" i="1"/>
  <c r="AS271" i="1"/>
  <c r="AM272" i="1"/>
  <c r="AO272" i="1" s="1"/>
  <c r="AH283" i="1"/>
  <c r="AG283" i="1"/>
  <c r="AZ271" i="1" l="1"/>
  <c r="AP272" i="1"/>
  <c r="AQ272" i="1"/>
  <c r="AI283" i="1"/>
  <c r="AN272" i="1"/>
  <c r="AA296" i="1"/>
  <c r="AB296" i="1"/>
  <c r="U297" i="1" s="1"/>
  <c r="AR272" i="1" l="1"/>
  <c r="BA271" i="1"/>
  <c r="BB271" i="1"/>
  <c r="AU272" i="1" s="1"/>
  <c r="BC272" i="1" s="1"/>
  <c r="AJ283" i="1"/>
  <c r="AK283" i="1"/>
  <c r="AD284" i="1" s="1"/>
  <c r="W297" i="1"/>
  <c r="V297" i="1"/>
  <c r="AV272" i="1" l="1"/>
  <c r="AW272" i="1"/>
  <c r="AF284" i="1"/>
  <c r="AE284" i="1"/>
  <c r="Y297" i="1"/>
  <c r="X297" i="1"/>
  <c r="AY272" i="1" l="1"/>
  <c r="AX272" i="1"/>
  <c r="Z297" i="1"/>
  <c r="AA297" i="1" s="1"/>
  <c r="AS272" i="1"/>
  <c r="AM273" i="1"/>
  <c r="AO273" i="1" s="1"/>
  <c r="AH284" i="1"/>
  <c r="AG284" i="1"/>
  <c r="AZ272" i="1" l="1"/>
  <c r="AP273" i="1"/>
  <c r="AQ273" i="1"/>
  <c r="AI284" i="1"/>
  <c r="AN273" i="1"/>
  <c r="AB297" i="1"/>
  <c r="U298" i="1" s="1"/>
  <c r="W298" i="1" s="1"/>
  <c r="AR273" i="1" l="1"/>
  <c r="BA272" i="1"/>
  <c r="BB272" i="1"/>
  <c r="AU273" i="1" s="1"/>
  <c r="BC273" i="1" s="1"/>
  <c r="AJ284" i="1"/>
  <c r="AK284" i="1"/>
  <c r="AD285" i="1" s="1"/>
  <c r="V298" i="1"/>
  <c r="Y298" i="1"/>
  <c r="X298" i="1"/>
  <c r="AV273" i="1" l="1"/>
  <c r="AW273" i="1"/>
  <c r="Z298" i="1"/>
  <c r="AF285" i="1"/>
  <c r="AE285" i="1"/>
  <c r="AY273" i="1" l="1"/>
  <c r="AX273" i="1"/>
  <c r="AS273" i="1"/>
  <c r="AM274" i="1"/>
  <c r="AO274" i="1" s="1"/>
  <c r="AH285" i="1"/>
  <c r="AG285" i="1"/>
  <c r="AA298" i="1"/>
  <c r="AB298" i="1"/>
  <c r="U299" i="1" s="1"/>
  <c r="AZ273" i="1" l="1"/>
  <c r="AP274" i="1"/>
  <c r="AQ274" i="1"/>
  <c r="AI285" i="1"/>
  <c r="AN274" i="1"/>
  <c r="W299" i="1"/>
  <c r="V299" i="1"/>
  <c r="AR274" i="1" l="1"/>
  <c r="BA273" i="1"/>
  <c r="BB273" i="1"/>
  <c r="AU274" i="1" s="1"/>
  <c r="BC274" i="1" s="1"/>
  <c r="AJ285" i="1"/>
  <c r="AK285" i="1"/>
  <c r="AD286" i="1" s="1"/>
  <c r="Y299" i="1"/>
  <c r="X299" i="1"/>
  <c r="AV274" i="1" l="1"/>
  <c r="AW274" i="1"/>
  <c r="Z299" i="1"/>
  <c r="AF286" i="1"/>
  <c r="AE286" i="1"/>
  <c r="AY274" i="1" l="1"/>
  <c r="AX274" i="1"/>
  <c r="AS274" i="1"/>
  <c r="AM275" i="1"/>
  <c r="AO275" i="1" s="1"/>
  <c r="AH286" i="1"/>
  <c r="AG286" i="1"/>
  <c r="AA299" i="1"/>
  <c r="AB299" i="1"/>
  <c r="U300" i="1" s="1"/>
  <c r="AZ274" i="1" l="1"/>
  <c r="AP275" i="1"/>
  <c r="AQ275" i="1"/>
  <c r="AI286" i="1"/>
  <c r="AN275" i="1"/>
  <c r="W300" i="1"/>
  <c r="V300" i="1"/>
  <c r="AR275" i="1" l="1"/>
  <c r="BA274" i="1"/>
  <c r="BB274" i="1"/>
  <c r="AU275" i="1" s="1"/>
  <c r="BC275" i="1" s="1"/>
  <c r="AJ286" i="1"/>
  <c r="AK286" i="1"/>
  <c r="AD287" i="1" s="1"/>
  <c r="Y300" i="1"/>
  <c r="X300" i="1"/>
  <c r="AV275" i="1" l="1"/>
  <c r="AW275" i="1"/>
  <c r="Z300" i="1"/>
  <c r="AF287" i="1"/>
  <c r="AE287" i="1"/>
  <c r="AY275" i="1" l="1"/>
  <c r="AX275" i="1"/>
  <c r="AS275" i="1"/>
  <c r="AM276" i="1"/>
  <c r="AO276" i="1" s="1"/>
  <c r="AH287" i="1"/>
  <c r="AG287" i="1"/>
  <c r="AA300" i="1"/>
  <c r="AB300" i="1"/>
  <c r="U301" i="1" s="1"/>
  <c r="AZ275" i="1" l="1"/>
  <c r="AP276" i="1"/>
  <c r="AQ276" i="1"/>
  <c r="AI287" i="1"/>
  <c r="AN276" i="1"/>
  <c r="W301" i="1"/>
  <c r="V301" i="1"/>
  <c r="AR276" i="1" l="1"/>
  <c r="BA275" i="1"/>
  <c r="BB275" i="1"/>
  <c r="AU276" i="1" s="1"/>
  <c r="BC276" i="1" s="1"/>
  <c r="AJ287" i="1"/>
  <c r="AK287" i="1"/>
  <c r="AD288" i="1" s="1"/>
  <c r="Y301" i="1"/>
  <c r="X301" i="1"/>
  <c r="Z301" i="1" s="1"/>
  <c r="AV276" i="1" l="1"/>
  <c r="AW276" i="1"/>
  <c r="AF288" i="1"/>
  <c r="AE288" i="1"/>
  <c r="AY276" i="1" l="1"/>
  <c r="AX276" i="1"/>
  <c r="AS276" i="1"/>
  <c r="AM277" i="1"/>
  <c r="AO277" i="1" s="1"/>
  <c r="AH288" i="1"/>
  <c r="AG288" i="1"/>
  <c r="AA301" i="1"/>
  <c r="AB301" i="1"/>
  <c r="U302" i="1" s="1"/>
  <c r="AZ276" i="1" l="1"/>
  <c r="AP277" i="1"/>
  <c r="AQ277" i="1"/>
  <c r="AI288" i="1"/>
  <c r="AN277" i="1"/>
  <c r="W302" i="1"/>
  <c r="V302" i="1"/>
  <c r="AR277" i="1" l="1"/>
  <c r="BA276" i="1"/>
  <c r="BB276" i="1"/>
  <c r="AU277" i="1" s="1"/>
  <c r="BC277" i="1" s="1"/>
  <c r="AJ288" i="1"/>
  <c r="AK288" i="1"/>
  <c r="AD289" i="1" s="1"/>
  <c r="Y302" i="1"/>
  <c r="X302" i="1"/>
  <c r="Z302" i="1" l="1"/>
  <c r="AV277" i="1"/>
  <c r="AW277" i="1"/>
  <c r="AF289" i="1"/>
  <c r="AE289" i="1"/>
  <c r="AB302" i="1"/>
  <c r="AY277" i="1" l="1"/>
  <c r="AX277" i="1"/>
  <c r="AS277" i="1"/>
  <c r="AM278" i="1"/>
  <c r="AO278" i="1" s="1"/>
  <c r="AH289" i="1"/>
  <c r="AG289" i="1"/>
  <c r="AA302" i="1"/>
  <c r="AZ277" i="1" l="1"/>
  <c r="AP278" i="1"/>
  <c r="AQ278" i="1"/>
  <c r="AI289" i="1"/>
  <c r="AJ289" i="1" s="1"/>
  <c r="AN278" i="1"/>
  <c r="AR278" i="1" l="1"/>
  <c r="BA277" i="1"/>
  <c r="BB277" i="1"/>
  <c r="AU278" i="1" s="1"/>
  <c r="BC278" i="1" s="1"/>
  <c r="AK289" i="1"/>
  <c r="AD290" i="1" s="1"/>
  <c r="AF290" i="1" s="1"/>
  <c r="AE290" i="1" l="1"/>
  <c r="AV278" i="1"/>
  <c r="AW278" i="1"/>
  <c r="AH290" i="1"/>
  <c r="AG290" i="1"/>
  <c r="AY278" i="1" l="1"/>
  <c r="AX278" i="1"/>
  <c r="AI290" i="1"/>
  <c r="AK290" i="1" s="1"/>
  <c r="AD291" i="1" s="1"/>
  <c r="AS278" i="1"/>
  <c r="AM279" i="1"/>
  <c r="AO279" i="1" s="1"/>
  <c r="AZ278" i="1" l="1"/>
  <c r="BA278" i="1" s="1"/>
  <c r="AP279" i="1"/>
  <c r="AQ279" i="1"/>
  <c r="AJ290" i="1"/>
  <c r="AN279" i="1"/>
  <c r="AF291" i="1"/>
  <c r="AE291" i="1"/>
  <c r="BB278" i="1" l="1"/>
  <c r="AU279" i="1" s="1"/>
  <c r="BC279" i="1" s="1"/>
  <c r="AR279" i="1"/>
  <c r="AH291" i="1"/>
  <c r="AG291" i="1"/>
  <c r="AI291" i="1" s="1"/>
  <c r="AV279" i="1" l="1"/>
  <c r="AW279" i="1"/>
  <c r="AJ291" i="1"/>
  <c r="AK291" i="1"/>
  <c r="AD292" i="1" s="1"/>
  <c r="AY279" i="1" l="1"/>
  <c r="AX279" i="1"/>
  <c r="AS279" i="1"/>
  <c r="AM280" i="1"/>
  <c r="AO280" i="1" s="1"/>
  <c r="AF292" i="1"/>
  <c r="AE292" i="1"/>
  <c r="AZ279" i="1" l="1"/>
  <c r="AP280" i="1"/>
  <c r="AQ280" i="1"/>
  <c r="AN280" i="1"/>
  <c r="AH292" i="1"/>
  <c r="AG292" i="1"/>
  <c r="AR280" i="1" l="1"/>
  <c r="BA279" i="1"/>
  <c r="BB279" i="1"/>
  <c r="AU280" i="1" s="1"/>
  <c r="BC280" i="1" s="1"/>
  <c r="AI292" i="1"/>
  <c r="AJ292" i="1" s="1"/>
  <c r="AK292" i="1" l="1"/>
  <c r="AD293" i="1" s="1"/>
  <c r="AV280" i="1"/>
  <c r="AW280" i="1"/>
  <c r="AF293" i="1"/>
  <c r="AE293" i="1"/>
  <c r="AY280" i="1" l="1"/>
  <c r="AX280" i="1"/>
  <c r="AS280" i="1"/>
  <c r="AM281" i="1"/>
  <c r="AO281" i="1" s="1"/>
  <c r="AH293" i="1"/>
  <c r="AG293" i="1"/>
  <c r="AZ280" i="1" l="1"/>
  <c r="AP281" i="1"/>
  <c r="AQ281" i="1"/>
  <c r="AI293" i="1"/>
  <c r="AJ293" i="1" s="1"/>
  <c r="AN281" i="1"/>
  <c r="AR281" i="1" l="1"/>
  <c r="BA280" i="1"/>
  <c r="BB280" i="1"/>
  <c r="AU281" i="1" s="1"/>
  <c r="BC281" i="1" s="1"/>
  <c r="AK293" i="1"/>
  <c r="AD294" i="1" s="1"/>
  <c r="AF294" i="1" s="1"/>
  <c r="AE294" i="1" l="1"/>
  <c r="AV281" i="1"/>
  <c r="AW281" i="1"/>
  <c r="AH294" i="1"/>
  <c r="AG294" i="1"/>
  <c r="AY281" i="1" l="1"/>
  <c r="AX281" i="1"/>
  <c r="AI294" i="1"/>
  <c r="AJ294" i="1" s="1"/>
  <c r="AS281" i="1"/>
  <c r="AM282" i="1"/>
  <c r="AO282" i="1" s="1"/>
  <c r="AZ281" i="1" l="1"/>
  <c r="BA281" i="1" s="1"/>
  <c r="AP282" i="1"/>
  <c r="AQ282" i="1"/>
  <c r="AK294" i="1"/>
  <c r="AD295" i="1" s="1"/>
  <c r="AF295" i="1" s="1"/>
  <c r="AN282" i="1"/>
  <c r="AE295" i="1" l="1"/>
  <c r="AR282" i="1"/>
  <c r="BB281" i="1"/>
  <c r="AU282" i="1" s="1"/>
  <c r="BC282" i="1" s="1"/>
  <c r="AH295" i="1"/>
  <c r="AG295" i="1"/>
  <c r="AV282" i="1" l="1"/>
  <c r="AW282" i="1"/>
  <c r="AI295" i="1"/>
  <c r="AJ295" i="1" s="1"/>
  <c r="AY282" i="1" l="1"/>
  <c r="AX282" i="1"/>
  <c r="AK295" i="1"/>
  <c r="AD296" i="1" s="1"/>
  <c r="AF296" i="1" s="1"/>
  <c r="AS282" i="1"/>
  <c r="AM283" i="1"/>
  <c r="AO283" i="1" s="1"/>
  <c r="AZ282" i="1" l="1"/>
  <c r="AP283" i="1"/>
  <c r="AQ283" i="1"/>
  <c r="AE296" i="1"/>
  <c r="AN283" i="1"/>
  <c r="AH296" i="1"/>
  <c r="AG296" i="1"/>
  <c r="AR283" i="1" l="1"/>
  <c r="BA282" i="1"/>
  <c r="BB282" i="1"/>
  <c r="AU283" i="1" s="1"/>
  <c r="BC283" i="1" s="1"/>
  <c r="AI296" i="1"/>
  <c r="AJ296" i="1" s="1"/>
  <c r="AV283" i="1" l="1"/>
  <c r="AK296" i="1"/>
  <c r="AD297" i="1" s="1"/>
  <c r="AF297" i="1" s="1"/>
  <c r="AW283" i="1"/>
  <c r="AY283" i="1" l="1"/>
  <c r="AX283" i="1"/>
  <c r="AE297" i="1"/>
  <c r="AS283" i="1"/>
  <c r="AM284" i="1"/>
  <c r="AO284" i="1" s="1"/>
  <c r="AH297" i="1"/>
  <c r="AG297" i="1"/>
  <c r="AZ283" i="1" l="1"/>
  <c r="BA283" i="1" s="1"/>
  <c r="AP284" i="1"/>
  <c r="AQ284" i="1"/>
  <c r="AI297" i="1"/>
  <c r="AJ297" i="1" s="1"/>
  <c r="AN284" i="1"/>
  <c r="AR284" i="1" l="1"/>
  <c r="BB283" i="1"/>
  <c r="AU284" i="1" s="1"/>
  <c r="BC284" i="1" s="1"/>
  <c r="AK297" i="1"/>
  <c r="AD298" i="1" s="1"/>
  <c r="AE298" i="1" s="1"/>
  <c r="AF298" i="1" l="1"/>
  <c r="AV284" i="1"/>
  <c r="AW284" i="1"/>
  <c r="AH298" i="1"/>
  <c r="AG298" i="1"/>
  <c r="AY284" i="1" l="1"/>
  <c r="AX284" i="1"/>
  <c r="AS284" i="1"/>
  <c r="AM285" i="1"/>
  <c r="AO285" i="1" s="1"/>
  <c r="AI298" i="1"/>
  <c r="AK298" i="1" s="1"/>
  <c r="AD299" i="1" s="1"/>
  <c r="AZ284" i="1" l="1"/>
  <c r="BA284" i="1" s="1"/>
  <c r="AP285" i="1"/>
  <c r="AQ285" i="1"/>
  <c r="AJ298" i="1"/>
  <c r="AN285" i="1"/>
  <c r="AF299" i="1"/>
  <c r="AE299" i="1"/>
  <c r="AR285" i="1" l="1"/>
  <c r="BB284" i="1"/>
  <c r="AU285" i="1" s="1"/>
  <c r="BC285" i="1" s="1"/>
  <c r="AH299" i="1"/>
  <c r="AG299" i="1"/>
  <c r="AV285" i="1" l="1"/>
  <c r="AW285" i="1"/>
  <c r="AI299" i="1"/>
  <c r="AJ299" i="1" s="1"/>
  <c r="AY285" i="1" l="1"/>
  <c r="AX285" i="1"/>
  <c r="AS285" i="1"/>
  <c r="AM286" i="1"/>
  <c r="AO286" i="1" s="1"/>
  <c r="AK299" i="1"/>
  <c r="AD300" i="1" s="1"/>
  <c r="AF300" i="1" s="1"/>
  <c r="AZ285" i="1" l="1"/>
  <c r="AP286" i="1"/>
  <c r="AQ286" i="1"/>
  <c r="AN286" i="1"/>
  <c r="AE300" i="1"/>
  <c r="AH300" i="1"/>
  <c r="AG300" i="1"/>
  <c r="AR286" i="1" l="1"/>
  <c r="BA285" i="1"/>
  <c r="BB285" i="1"/>
  <c r="AU286" i="1" s="1"/>
  <c r="BC286" i="1" s="1"/>
  <c r="AI300" i="1"/>
  <c r="AK300" i="1" s="1"/>
  <c r="AD301" i="1" s="1"/>
  <c r="AV286" i="1" l="1"/>
  <c r="AJ300" i="1"/>
  <c r="AW286" i="1"/>
  <c r="AF301" i="1"/>
  <c r="AE301" i="1"/>
  <c r="AY286" i="1" l="1"/>
  <c r="AX286" i="1"/>
  <c r="AZ286" i="1" s="1"/>
  <c r="AS286" i="1"/>
  <c r="AM287" i="1"/>
  <c r="AO287" i="1" s="1"/>
  <c r="AH301" i="1"/>
  <c r="AG301" i="1"/>
  <c r="BB286" i="1" l="1"/>
  <c r="AU287" i="1" s="1"/>
  <c r="BC287" i="1" s="1"/>
  <c r="AP287" i="1"/>
  <c r="AQ287" i="1"/>
  <c r="AI301" i="1"/>
  <c r="AJ301" i="1" s="1"/>
  <c r="AN287" i="1"/>
  <c r="BA286" i="1" l="1"/>
  <c r="AR287" i="1"/>
  <c r="AV287" i="1"/>
  <c r="AK301" i="1"/>
  <c r="AD302" i="1" s="1"/>
  <c r="AF302" i="1" s="1"/>
  <c r="AE302" i="1" l="1"/>
  <c r="AW287" i="1"/>
  <c r="AH302" i="1"/>
  <c r="AG302" i="1"/>
  <c r="AY287" i="1" l="1"/>
  <c r="AX287" i="1"/>
  <c r="AI302" i="1"/>
  <c r="AK302" i="1" s="1"/>
  <c r="AS287" i="1"/>
  <c r="AM288" i="1"/>
  <c r="AO288" i="1" s="1"/>
  <c r="AZ287" i="1" l="1"/>
  <c r="AP288" i="1"/>
  <c r="AQ288" i="1"/>
  <c r="AJ302" i="1"/>
  <c r="AN288" i="1"/>
  <c r="AR288" i="1" l="1"/>
  <c r="BA287" i="1"/>
  <c r="BB287" i="1"/>
  <c r="AU288" i="1" s="1"/>
  <c r="BC288" i="1" s="1"/>
  <c r="AV288" i="1" l="1"/>
  <c r="AW288" i="1"/>
  <c r="AY288" i="1" l="1"/>
  <c r="AX288" i="1"/>
  <c r="AS288" i="1"/>
  <c r="AM289" i="1"/>
  <c r="AO289" i="1" s="1"/>
  <c r="AZ288" i="1" l="1"/>
  <c r="AP289" i="1"/>
  <c r="AQ289" i="1"/>
  <c r="AN289" i="1"/>
  <c r="AR289" i="1" l="1"/>
  <c r="BA288" i="1"/>
  <c r="BB288" i="1"/>
  <c r="AU289" i="1" s="1"/>
  <c r="BC289" i="1" s="1"/>
  <c r="AV289" i="1" l="1"/>
  <c r="AW289" i="1"/>
  <c r="AY289" i="1" l="1"/>
  <c r="AX289" i="1"/>
  <c r="AS289" i="1"/>
  <c r="AM290" i="1"/>
  <c r="AO290" i="1" s="1"/>
  <c r="AZ289" i="1" l="1"/>
  <c r="BB289" i="1" s="1"/>
  <c r="AU290" i="1" s="1"/>
  <c r="BC290" i="1" s="1"/>
  <c r="AP290" i="1"/>
  <c r="AQ290" i="1"/>
  <c r="AN290" i="1"/>
  <c r="BA289" i="1" l="1"/>
  <c r="AR290" i="1"/>
  <c r="AV290" i="1"/>
  <c r="AW290" i="1" l="1"/>
  <c r="AY290" i="1" l="1"/>
  <c r="AX290" i="1"/>
  <c r="AS290" i="1"/>
  <c r="AM291" i="1"/>
  <c r="AO291" i="1" s="1"/>
  <c r="AZ290" i="1" l="1"/>
  <c r="AP291" i="1"/>
  <c r="AQ291" i="1"/>
  <c r="AN291" i="1"/>
  <c r="AR291" i="1" l="1"/>
  <c r="BA290" i="1"/>
  <c r="BB290" i="1"/>
  <c r="AU291" i="1" s="1"/>
  <c r="BC291" i="1" s="1"/>
  <c r="AV291" i="1" l="1"/>
  <c r="AW291" i="1"/>
  <c r="AY291" i="1" l="1"/>
  <c r="AX291" i="1"/>
  <c r="AS291" i="1"/>
  <c r="AM292" i="1"/>
  <c r="AO292" i="1" s="1"/>
  <c r="AZ291" i="1" l="1"/>
  <c r="AP292" i="1"/>
  <c r="AQ292" i="1"/>
  <c r="AN292" i="1"/>
  <c r="AR292" i="1" l="1"/>
  <c r="BA291" i="1"/>
  <c r="BB291" i="1"/>
  <c r="AU292" i="1" s="1"/>
  <c r="BC292" i="1" s="1"/>
  <c r="AV292" i="1" l="1"/>
  <c r="AW292" i="1"/>
  <c r="AY292" i="1" l="1"/>
  <c r="AX292" i="1"/>
  <c r="AZ292" i="1" s="1"/>
  <c r="AS292" i="1"/>
  <c r="AM293" i="1"/>
  <c r="AO293" i="1" s="1"/>
  <c r="AP293" i="1" l="1"/>
  <c r="AQ293" i="1"/>
  <c r="BA292" i="1"/>
  <c r="BB292" i="1"/>
  <c r="AU293" i="1" s="1"/>
  <c r="BC293" i="1" s="1"/>
  <c r="AN293" i="1"/>
  <c r="AR293" i="1" l="1"/>
  <c r="AV293" i="1"/>
  <c r="AW293" i="1" l="1"/>
  <c r="AY293" i="1" l="1"/>
  <c r="AX293" i="1"/>
  <c r="AS293" i="1"/>
  <c r="AM294" i="1"/>
  <c r="AO294" i="1" s="1"/>
  <c r="AZ293" i="1" l="1"/>
  <c r="AP294" i="1"/>
  <c r="AQ294" i="1"/>
  <c r="BA293" i="1"/>
  <c r="BB293" i="1"/>
  <c r="AU294" i="1" s="1"/>
  <c r="BC294" i="1" s="1"/>
  <c r="AN294" i="1"/>
  <c r="AR294" i="1" l="1"/>
  <c r="AV294" i="1"/>
  <c r="AW294" i="1" l="1"/>
  <c r="AY294" i="1" l="1"/>
  <c r="AX294" i="1"/>
  <c r="AS294" i="1"/>
  <c r="AM295" i="1"/>
  <c r="AO295" i="1" s="1"/>
  <c r="AZ294" i="1" l="1"/>
  <c r="BA294" i="1" s="1"/>
  <c r="AP295" i="1"/>
  <c r="AQ295" i="1"/>
  <c r="AN295" i="1"/>
  <c r="AR295" i="1" l="1"/>
  <c r="BB294" i="1"/>
  <c r="AU295" i="1" s="1"/>
  <c r="AV295" i="1" l="1"/>
  <c r="BC295" i="1"/>
  <c r="AW295" i="1"/>
  <c r="AY295" i="1" l="1"/>
  <c r="AX295" i="1"/>
  <c r="AS295" i="1"/>
  <c r="AM296" i="1"/>
  <c r="AO296" i="1" s="1"/>
  <c r="AZ295" i="1" l="1"/>
  <c r="BA295" i="1" s="1"/>
  <c r="AP296" i="1"/>
  <c r="AQ296" i="1"/>
  <c r="AN296" i="1"/>
  <c r="BB295" i="1" l="1"/>
  <c r="AU296" i="1" s="1"/>
  <c r="BC296" i="1" s="1"/>
  <c r="AR296" i="1"/>
  <c r="AV296" i="1" l="1"/>
  <c r="AW296" i="1"/>
  <c r="AY296" i="1" l="1"/>
  <c r="AX296" i="1"/>
  <c r="AS296" i="1"/>
  <c r="AM297" i="1"/>
  <c r="AO297" i="1" s="1"/>
  <c r="AZ296" i="1" l="1"/>
  <c r="BB296" i="1" s="1"/>
  <c r="AU297" i="1" s="1"/>
  <c r="BC297" i="1" s="1"/>
  <c r="AP297" i="1"/>
  <c r="AQ297" i="1"/>
  <c r="AN297" i="1"/>
  <c r="BA296" i="1" l="1"/>
  <c r="AR297" i="1"/>
  <c r="AV297" i="1"/>
  <c r="AW297" i="1" l="1"/>
  <c r="AY297" i="1" l="1"/>
  <c r="AX297" i="1"/>
  <c r="AS297" i="1"/>
  <c r="AM298" i="1"/>
  <c r="AO298" i="1" s="1"/>
  <c r="AZ297" i="1" l="1"/>
  <c r="AP298" i="1"/>
  <c r="AQ298" i="1"/>
  <c r="AN298" i="1"/>
  <c r="AR298" i="1" l="1"/>
  <c r="BA297" i="1"/>
  <c r="BB297" i="1"/>
  <c r="AU298" i="1" s="1"/>
  <c r="BC298" i="1" s="1"/>
  <c r="AV298" i="1" l="1"/>
  <c r="AW298" i="1"/>
  <c r="AY298" i="1" l="1"/>
  <c r="AX298" i="1"/>
  <c r="AS298" i="1"/>
  <c r="AM299" i="1"/>
  <c r="AO299" i="1" s="1"/>
  <c r="AZ298" i="1" l="1"/>
  <c r="AP299" i="1"/>
  <c r="AQ299" i="1"/>
  <c r="AN299" i="1"/>
  <c r="AR299" i="1" l="1"/>
  <c r="BA298" i="1"/>
  <c r="BB298" i="1"/>
  <c r="AU299" i="1" s="1"/>
  <c r="BC299" i="1" s="1"/>
  <c r="AV299" i="1" l="1"/>
  <c r="AW299" i="1"/>
  <c r="AY299" i="1" l="1"/>
  <c r="AX299" i="1"/>
  <c r="AZ299" i="1" s="1"/>
  <c r="AS299" i="1"/>
  <c r="AM300" i="1"/>
  <c r="AO300" i="1" s="1"/>
  <c r="AP300" i="1" l="1"/>
  <c r="AQ300" i="1"/>
  <c r="AN300" i="1"/>
  <c r="AR300" i="1" l="1"/>
  <c r="BA299" i="1"/>
  <c r="BB299" i="1"/>
  <c r="AU300" i="1" s="1"/>
  <c r="BC300" i="1" s="1"/>
  <c r="AV300" i="1" l="1"/>
  <c r="AW300" i="1"/>
  <c r="AY300" i="1" l="1"/>
  <c r="AX300" i="1"/>
  <c r="AZ300" i="1" s="1"/>
  <c r="AS300" i="1"/>
  <c r="AM301" i="1"/>
  <c r="AO301" i="1" s="1"/>
  <c r="AP301" i="1" l="1"/>
  <c r="AQ301" i="1"/>
  <c r="AN301" i="1"/>
  <c r="AR301" i="1" l="1"/>
  <c r="BA300" i="1"/>
  <c r="BB300" i="1"/>
  <c r="AU301" i="1" s="1"/>
  <c r="BC301" i="1" s="1"/>
  <c r="AV301" i="1" l="1"/>
  <c r="AW301" i="1"/>
  <c r="AY301" i="1" l="1"/>
  <c r="AX301" i="1"/>
  <c r="AS301" i="1"/>
  <c r="AM302" i="1"/>
  <c r="AO302" i="1" s="1"/>
  <c r="AZ301" i="1" l="1"/>
  <c r="AP302" i="1"/>
  <c r="AQ302" i="1"/>
  <c r="AN302" i="1"/>
  <c r="AR302" i="1" l="1"/>
  <c r="BA301" i="1"/>
  <c r="BB301" i="1"/>
  <c r="AU302" i="1" s="1"/>
  <c r="BC302" i="1" s="1"/>
  <c r="AW302" i="1" l="1"/>
  <c r="AV302" i="1"/>
  <c r="AS302" i="1"/>
  <c r="AY302" i="1" l="1"/>
  <c r="AX302" i="1"/>
  <c r="AZ302" i="1" l="1"/>
  <c r="BA302" i="1" s="1"/>
  <c r="BB302" i="1" l="1"/>
</calcChain>
</file>

<file path=xl/sharedStrings.xml><?xml version="1.0" encoding="utf-8"?>
<sst xmlns="http://schemas.openxmlformats.org/spreadsheetml/2006/main" count="97" uniqueCount="55">
  <si>
    <t>Sw [ft^2]</t>
  </si>
  <si>
    <t>b [ft]</t>
  </si>
  <si>
    <t>Ixxb [slug ft^2]</t>
  </si>
  <si>
    <t>Cl,pbar</t>
  </si>
  <si>
    <t>Cl,da</t>
  </si>
  <si>
    <t>rho [slug/ft^3]</t>
  </si>
  <si>
    <t>V0 [ft/s]</t>
  </si>
  <si>
    <t>p0 [deg/s]</t>
  </si>
  <si>
    <t>p0 [rad/s]</t>
  </si>
  <si>
    <t>psp [deg/s]</t>
  </si>
  <si>
    <t>psp [rad/s]</t>
  </si>
  <si>
    <t xml:space="preserve">dt = </t>
  </si>
  <si>
    <t>time</t>
  </si>
  <si>
    <t>Cl0</t>
  </si>
  <si>
    <t>sigma_r</t>
  </si>
  <si>
    <t xml:space="preserve">pbar0 </t>
  </si>
  <si>
    <t>da [deg]</t>
  </si>
  <si>
    <t>da [rad]</t>
  </si>
  <si>
    <t xml:space="preserve">Analytic </t>
  </si>
  <si>
    <t>p(t) [rad/s]</t>
  </si>
  <si>
    <t>Analytic p [deg/s]</t>
  </si>
  <si>
    <t>constant</t>
  </si>
  <si>
    <t>Numerical</t>
  </si>
  <si>
    <t>pdot [rad/s]</t>
  </si>
  <si>
    <t>Constant da p [deg/s]</t>
  </si>
  <si>
    <t>Variable da p [deg/s]</t>
  </si>
  <si>
    <t>PID  p(t) [deg/s]</t>
  </si>
  <si>
    <t>error</t>
  </si>
  <si>
    <t>Int error</t>
  </si>
  <si>
    <t>de/dt</t>
  </si>
  <si>
    <t>kP</t>
  </si>
  <si>
    <t>KP</t>
  </si>
  <si>
    <t>KI</t>
  </si>
  <si>
    <t>KD</t>
  </si>
  <si>
    <t>PID unlimited</t>
  </si>
  <si>
    <t>PID Limited</t>
  </si>
  <si>
    <t>kI</t>
  </si>
  <si>
    <t>kD</t>
  </si>
  <si>
    <t>Bank Controller</t>
  </si>
  <si>
    <t>Roll Controller        Unlimited da</t>
  </si>
  <si>
    <t>Roll Controller       Limited da</t>
  </si>
  <si>
    <t>Initial Bank angle [deg]</t>
  </si>
  <si>
    <t>Initial Bank angle [rad]</t>
  </si>
  <si>
    <t>Bank sp [deg]</t>
  </si>
  <si>
    <t>Bank sp [rad]</t>
  </si>
  <si>
    <t>phi(t) [rad]</t>
  </si>
  <si>
    <t>p_sp [rad/s]</t>
  </si>
  <si>
    <t>Nested Roll Controller</t>
  </si>
  <si>
    <t>Nested Roll Gains</t>
  </si>
  <si>
    <t>Bank Gains</t>
  </si>
  <si>
    <t>phi(t) [deg]</t>
  </si>
  <si>
    <t>bank error</t>
  </si>
  <si>
    <t>bank Int error</t>
  </si>
  <si>
    <t>bank de/dt</t>
  </si>
  <si>
    <t xml:space="preserve"> phi dot [rad/s]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</si>
</sst>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0000"/>
    <numFmt numFmtId="166" formatCode="0.00000000"/>
    <numFmt numFmtId="167" formatCode="0.000000000"/>
    <numFmt numFmtId="168" formatCode="0.0000000000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3" xfId="0" applyFont="1" applyFill="1" applyBorder="1"/>
    <xf numFmtId="0" fontId="0" fillId="2" borderId="0" xfId="0" applyFill="1"/>
    <xf numFmtId="164" fontId="0" fillId="2" borderId="0" xfId="0" applyNumberFormat="1" applyFill="1"/>
    <xf numFmtId="0" fontId="0" fillId="2" borderId="2" xfId="0" applyFill="1" applyBorder="1"/>
    <xf numFmtId="0" fontId="0" fillId="3" borderId="1" xfId="0" applyFill="1" applyBorder="1"/>
    <xf numFmtId="0" fontId="1" fillId="3" borderId="1" xfId="0" applyFont="1" applyFill="1" applyBorder="1"/>
    <xf numFmtId="0" fontId="0" fillId="3" borderId="0" xfId="0" applyFill="1"/>
    <xf numFmtId="0" fontId="0" fillId="3" borderId="3" xfId="0" applyFill="1" applyBorder="1"/>
    <xf numFmtId="0" fontId="0" fillId="3" borderId="2" xfId="0" applyFill="1" applyBorder="1"/>
    <xf numFmtId="0" fontId="0" fillId="4" borderId="1" xfId="0" applyFill="1" applyBorder="1"/>
    <xf numFmtId="0" fontId="1" fillId="4" borderId="1" xfId="0" applyFont="1" applyFill="1" applyBorder="1"/>
    <xf numFmtId="0" fontId="0" fillId="4" borderId="3" xfId="0" applyFill="1" applyBorder="1"/>
    <xf numFmtId="0" fontId="0" fillId="4" borderId="0" xfId="0" applyFill="1"/>
    <xf numFmtId="0" fontId="0" fillId="4" borderId="2" xfId="0" applyFill="1" applyBorder="1"/>
    <xf numFmtId="0" fontId="1" fillId="3" borderId="4" xfId="0" applyFont="1" applyFill="1" applyBorder="1"/>
    <xf numFmtId="0" fontId="1" fillId="2" borderId="1" xfId="0" applyFont="1" applyFill="1" applyBorder="1"/>
    <xf numFmtId="0" fontId="1" fillId="4" borderId="4" xfId="0" applyFont="1" applyFill="1" applyBorder="1"/>
    <xf numFmtId="0" fontId="0" fillId="5" borderId="1" xfId="0" applyFill="1" applyBorder="1"/>
    <xf numFmtId="0" fontId="1" fillId="5" borderId="1" xfId="0" applyFont="1" applyFill="1" applyBorder="1"/>
    <xf numFmtId="0" fontId="0" fillId="5" borderId="3" xfId="0" applyFill="1" applyBorder="1"/>
    <xf numFmtId="0" fontId="0" fillId="5" borderId="0" xfId="0" applyFill="1"/>
    <xf numFmtId="0" fontId="0" fillId="5" borderId="2" xfId="0" applyFill="1" applyBorder="1"/>
    <xf numFmtId="166" fontId="0" fillId="5" borderId="0" xfId="0" applyNumberFormat="1" applyFill="1"/>
    <xf numFmtId="167" fontId="0" fillId="5" borderId="0" xfId="0" applyNumberFormat="1" applyFill="1"/>
    <xf numFmtId="165" fontId="0" fillId="5" borderId="2" xfId="0" applyNumberFormat="1" applyFill="1" applyBorder="1"/>
    <xf numFmtId="167" fontId="0" fillId="0" borderId="0" xfId="0" applyNumberFormat="1"/>
    <xf numFmtId="168" fontId="0" fillId="0" borderId="0" xfId="0" applyNumberFormat="1"/>
    <xf numFmtId="0" fontId="1" fillId="6" borderId="1" xfId="0" applyFont="1" applyFill="1" applyBorder="1"/>
    <xf numFmtId="0" fontId="0" fillId="6" borderId="1" xfId="0" applyFill="1" applyBorder="1"/>
    <xf numFmtId="0" fontId="0" fillId="6" borderId="3" xfId="0" applyFill="1" applyBorder="1"/>
    <xf numFmtId="0" fontId="0" fillId="6" borderId="0" xfId="0" applyFill="1"/>
    <xf numFmtId="166" fontId="0" fillId="6" borderId="0" xfId="0" applyNumberFormat="1" applyFill="1"/>
    <xf numFmtId="167" fontId="0" fillId="6" borderId="0" xfId="0" applyNumberFormat="1" applyFill="1"/>
    <xf numFmtId="165" fontId="0" fillId="6" borderId="2" xfId="0" applyNumberFormat="1" applyFill="1" applyBorder="1"/>
    <xf numFmtId="0" fontId="0" fillId="6" borderId="2" xfId="0" applyFill="1" applyBorder="1"/>
    <xf numFmtId="0" fontId="1" fillId="7" borderId="1" xfId="0" applyFont="1" applyFill="1" applyBorder="1"/>
    <xf numFmtId="0" fontId="0" fillId="7" borderId="1" xfId="0" applyFill="1" applyBorder="1"/>
    <xf numFmtId="0" fontId="0" fillId="7" borderId="3" xfId="0" applyFill="1" applyBorder="1"/>
    <xf numFmtId="0" fontId="0" fillId="7" borderId="0" xfId="0" applyFill="1"/>
    <xf numFmtId="166" fontId="0" fillId="7" borderId="0" xfId="0" applyNumberFormat="1" applyFill="1"/>
    <xf numFmtId="167" fontId="0" fillId="7" borderId="0" xfId="0" applyNumberFormat="1" applyFill="1"/>
    <xf numFmtId="165" fontId="0" fillId="7" borderId="2" xfId="0" applyNumberFormat="1" applyFill="1" applyBorder="1"/>
    <xf numFmtId="0" fontId="1" fillId="8" borderId="1" xfId="0" applyFont="1" applyFill="1" applyBorder="1"/>
    <xf numFmtId="0" fontId="0" fillId="8" borderId="1" xfId="0" applyFill="1" applyBorder="1"/>
    <xf numFmtId="0" fontId="0" fillId="8" borderId="3" xfId="0" applyFill="1" applyBorder="1"/>
    <xf numFmtId="0" fontId="0" fillId="8" borderId="0" xfId="0" applyFill="1"/>
    <xf numFmtId="166" fontId="0" fillId="8" borderId="0" xfId="0" applyNumberFormat="1" applyFill="1"/>
    <xf numFmtId="167" fontId="0" fillId="8" borderId="0" xfId="0" applyNumberFormat="1" applyFill="1"/>
    <xf numFmtId="165" fontId="0" fillId="8" borderId="2" xfId="0" applyNumberFormat="1" applyFill="1" applyBorder="1"/>
    <xf numFmtId="0" fontId="0" fillId="8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Unlimited Deflection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Constant da p [deg/s]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Sheet1!$D$2:$D$302</c:f>
              <c:numCache>
                <c:formatCode>General</c:formatCode>
                <c:ptCount val="3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</c:numCache>
            </c:numRef>
          </c:xVal>
          <c:yVal>
            <c:numRef>
              <c:f>Sheet1!$J$2:$J$302</c:f>
              <c:numCache>
                <c:formatCode>General</c:formatCode>
                <c:ptCount val="301"/>
                <c:pt idx="0">
                  <c:v>0</c:v>
                </c:pt>
                <c:pt idx="1">
                  <c:v>1.1135017734620629</c:v>
                </c:pt>
                <c:pt idx="2">
                  <c:v>2.2022058229340624</c:v>
                </c:pt>
                <c:pt idx="3">
                  <c:v>3.2666643946088136</c:v>
                </c:pt>
                <c:pt idx="4">
                  <c:v>4.3074174361368307</c:v>
                </c:pt>
                <c:pt idx="5">
                  <c:v>5.324992870515298</c:v>
                </c:pt>
                <c:pt idx="6">
                  <c:v>6.3199068638775282</c:v>
                </c:pt>
                <c:pt idx="7">
                  <c:v>7.2926640873187374</c:v>
                </c:pt>
                <c:pt idx="8">
                  <c:v>8.2437579728909505</c:v>
                </c:pt>
                <c:pt idx="9">
                  <c:v>9.1736709638968907</c:v>
                </c:pt>
                <c:pt idx="10">
                  <c:v>10.082874759609821</c:v>
                </c:pt>
                <c:pt idx="11">
                  <c:v>10.971830554543455</c:v>
                </c:pt>
                <c:pt idx="12">
                  <c:v>11.840989272393331</c:v>
                </c:pt>
                <c:pt idx="13">
                  <c:v>12.690791794768289</c:v>
                </c:pt>
                <c:pt idx="14">
                  <c:v>13.521669184828106</c:v>
                </c:pt>
                <c:pt idx="15">
                  <c:v>14.334042905940699</c:v>
                </c:pt>
                <c:pt idx="16">
                  <c:v>15.128325035469837</c:v>
                </c:pt>
                <c:pt idx="17">
                  <c:v>15.904918473801777</c:v>
                </c:pt>
                <c:pt idx="18">
                  <c:v>16.664217148716883</c:v>
                </c:pt>
                <c:pt idx="19">
                  <c:v>17.406606215209884</c:v>
                </c:pt>
                <c:pt idx="20">
                  <c:v>18.132462250860105</c:v>
                </c:pt>
                <c:pt idx="21">
                  <c:v>18.842153446850837</c:v>
                </c:pt>
                <c:pt idx="22">
                  <c:v>19.536039794734645</c:v>
                </c:pt>
                <c:pt idx="23">
                  <c:v>20.214473269039463</c:v>
                </c:pt>
                <c:pt idx="24">
                  <c:v>20.877798005807986</c:v>
                </c:pt>
                <c:pt idx="25">
                  <c:v>21.526350477161049</c:v>
                </c:pt>
                <c:pt idx="26">
                  <c:v>22.160459661973416</c:v>
                </c:pt>
                <c:pt idx="27">
                  <c:v>22.780447212748641</c:v>
                </c:pt>
                <c:pt idx="28">
                  <c:v>23.386627618777613</c:v>
                </c:pt>
                <c:pt idx="29">
                  <c:v>23.979308365663563</c:v>
                </c:pt>
                <c:pt idx="30">
                  <c:v>24.558790091294423</c:v>
                </c:pt>
                <c:pt idx="31">
                  <c:v>25.125366738341711</c:v>
                </c:pt>
                <c:pt idx="32">
                  <c:v>25.679325703363212</c:v>
                </c:pt>
                <c:pt idx="33">
                  <c:v>26.220947982585177</c:v>
                </c:pt>
                <c:pt idx="34">
                  <c:v>26.750508314437937</c:v>
                </c:pt>
                <c:pt idx="35">
                  <c:v>27.268275318917233</c:v>
                </c:pt>
                <c:pt idx="36">
                  <c:v>27.774511633841971</c:v>
                </c:pt>
                <c:pt idx="37">
                  <c:v>28.26947404807752</c:v>
                </c:pt>
                <c:pt idx="38">
                  <c:v>28.753413631792103</c:v>
                </c:pt>
                <c:pt idx="39">
                  <c:v>29.226575863812389</c:v>
                </c:pt>
                <c:pt idx="40">
                  <c:v>29.689200756142878</c:v>
                </c:pt>
                <c:pt idx="41">
                  <c:v>30.141522975712217</c:v>
                </c:pt>
                <c:pt idx="42">
                  <c:v>30.583771963408218</c:v>
                </c:pt>
                <c:pt idx="43">
                  <c:v>31.016172050461996</c:v>
                </c:pt>
                <c:pt idx="44">
                  <c:v>31.438942572240183</c:v>
                </c:pt>
                <c:pt idx="45">
                  <c:v>31.852297979503017</c:v>
                </c:pt>
                <c:pt idx="46">
                  <c:v>32.256447947184704</c:v>
                </c:pt>
                <c:pt idx="47">
                  <c:v>32.651597480751228</c:v>
                </c:pt>
                <c:pt idx="48">
                  <c:v>33.037947020189577</c:v>
                </c:pt>
                <c:pt idx="49">
                  <c:v>33.415692541681103</c:v>
                </c:pt>
                <c:pt idx="50">
                  <c:v>33.785025657010671</c:v>
                </c:pt>
                <c:pt idx="51">
                  <c:v>34.14613371076188</c:v>
                </c:pt>
                <c:pt idx="52">
                  <c:v>34.49919987534782</c:v>
                </c:pt>
                <c:pt idx="53">
                  <c:v>34.844403243925441</c:v>
                </c:pt>
                <c:pt idx="54">
                  <c:v>35.181918921240737</c:v>
                </c:pt>
                <c:pt idx="55">
                  <c:v>35.5119181124508</c:v>
                </c:pt>
                <c:pt idx="56">
                  <c:v>35.834568209967792</c:v>
                </c:pt>
                <c:pt idx="57">
                  <c:v>36.150032878368926</c:v>
                </c:pt>
                <c:pt idx="58">
                  <c:v>36.458472137415484</c:v>
                </c:pt>
                <c:pt idx="59">
                  <c:v>36.760042443222957</c:v>
                </c:pt>
                <c:pt idx="60">
                  <c:v>37.054896767623632</c:v>
                </c:pt>
                <c:pt idx="61">
                  <c:v>37.343184675761641</c:v>
                </c:pt>
                <c:pt idx="62">
                  <c:v>37.625052401960062</c:v>
                </c:pt>
                <c:pt idx="63">
                  <c:v>37.90064292389841</c:v>
                </c:pt>
                <c:pt idx="64">
                  <c:v>38.170096035138208</c:v>
                </c:pt>
                <c:pt idx="65">
                  <c:v>38.433548416033403</c:v>
                </c:pt>
                <c:pt idx="66">
                  <c:v>38.691133703061602</c:v>
                </c:pt>
                <c:pt idx="67">
                  <c:v>38.942982556611327</c:v>
                </c:pt>
                <c:pt idx="68">
                  <c:v>39.189222727259612</c:v>
                </c:pt>
                <c:pt idx="69">
                  <c:v>39.429979120573606</c:v>
                </c:pt>
                <c:pt idx="70">
                  <c:v>39.66537386046906</c:v>
                </c:pt>
                <c:pt idx="71">
                  <c:v>39.895526351157756</c:v>
                </c:pt>
                <c:pt idx="72">
                  <c:v>40.120553337715492</c:v>
                </c:pt>
                <c:pt idx="73">
                  <c:v>40.340568965301046</c:v>
                </c:pt>
                <c:pt idx="74">
                  <c:v>40.555684837056482</c:v>
                </c:pt>
                <c:pt idx="75">
                  <c:v>40.766010070717932</c:v>
                </c:pt>
                <c:pt idx="76">
                  <c:v>40.971651353965662</c:v>
                </c:pt>
                <c:pt idx="77">
                  <c:v>41.17271299854152</c:v>
                </c:pt>
                <c:pt idx="78">
                  <c:v>41.369296993161171</c:v>
                </c:pt>
                <c:pt idx="79">
                  <c:v>41.561503055247961</c:v>
                </c:pt>
                <c:pt idx="80">
                  <c:v>41.749428681514672</c:v>
                </c:pt>
                <c:pt idx="81">
                  <c:v>41.933169197418849</c:v>
                </c:pt>
                <c:pt idx="82">
                  <c:v>42.112817805516691</c:v>
                </c:pt>
                <c:pt idx="83">
                  <c:v>42.288465632740206</c:v>
                </c:pt>
                <c:pt idx="84">
                  <c:v>42.460201776621354</c:v>
                </c:pt>
                <c:pt idx="85">
                  <c:v>42.62811335048692</c:v>
                </c:pt>
                <c:pt idx="86">
                  <c:v>42.792285527646804</c:v>
                </c:pt>
                <c:pt idx="87">
                  <c:v>42.952801584598269</c:v>
                </c:pt>
                <c:pt idx="88">
                  <c:v>43.109742943268053</c:v>
                </c:pt>
                <c:pt idx="89">
                  <c:v>43.263189212313662</c:v>
                </c:pt>
                <c:pt idx="90">
                  <c:v>43.413218227505006</c:v>
                </c:pt>
                <c:pt idx="91">
                  <c:v>43.559906091206621</c:v>
                </c:pt>
                <c:pt idx="92">
                  <c:v>43.703327210980696</c:v>
                </c:pt>
                <c:pt idx="93">
                  <c:v>43.84355433733036</c:v>
                </c:pt>
                <c:pt idx="94">
                  <c:v>43.980658600602467</c:v>
                </c:pt>
                <c:pt idx="95">
                  <c:v>44.114709547068522</c:v>
                </c:pt>
                <c:pt idx="96">
                  <c:v>44.245775174202087</c:v>
                </c:pt>
                <c:pt idx="97">
                  <c:v>44.373921965170595</c:v>
                </c:pt>
                <c:pt idx="98">
                  <c:v>44.49921492255897</c:v>
                </c:pt>
                <c:pt idx="99">
                  <c:v>44.621717601342255</c:v>
                </c:pt>
                <c:pt idx="100">
                  <c:v>44.741492141123956</c:v>
                </c:pt>
                <c:pt idx="101">
                  <c:v>44.858599297656411</c:v>
                </c:pt>
                <c:pt idx="102">
                  <c:v>44.973098473659185</c:v>
                </c:pt>
                <c:pt idx="103">
                  <c:v>45.085047748951176</c:v>
                </c:pt>
                <c:pt idx="104">
                  <c:v>45.19450390991166</c:v>
                </c:pt>
                <c:pt idx="105">
                  <c:v>45.301522478285221</c:v>
                </c:pt>
                <c:pt idx="106">
                  <c:v>45.40615773934524</c:v>
                </c:pt>
                <c:pt idx="107">
                  <c:v>45.508462769430118</c:v>
                </c:pt>
                <c:pt idx="108">
                  <c:v>45.608489462866331</c:v>
                </c:pt>
                <c:pt idx="109">
                  <c:v>45.706288558291845</c:v>
                </c:pt>
                <c:pt idx="110">
                  <c:v>45.801909664393378</c:v>
                </c:pt>
                <c:pt idx="111">
                  <c:v>45.895401285070413</c:v>
                </c:pt>
                <c:pt idx="112">
                  <c:v>45.986810844038899</c:v>
                </c:pt>
                <c:pt idx="113">
                  <c:v>46.076184708886927</c:v>
                </c:pt>
                <c:pt idx="114">
                  <c:v>46.163568214594768</c:v>
                </c:pt>
                <c:pt idx="115">
                  <c:v>46.249005686531071</c:v>
                </c:pt>
                <c:pt idx="116">
                  <c:v>46.332540462936947</c:v>
                </c:pt>
                <c:pt idx="117">
                  <c:v>46.414214916909344</c:v>
                </c:pt>
                <c:pt idx="118">
                  <c:v>46.494070477894851</c:v>
                </c:pt>
                <c:pt idx="119">
                  <c:v>46.572147652704793</c:v>
                </c:pt>
                <c:pt idx="120">
                  <c:v>46.648486046062381</c:v>
                </c:pt>
                <c:pt idx="121">
                  <c:v>46.723124380692234</c:v>
                </c:pt>
                <c:pt idx="122">
                  <c:v>46.796100516962504</c:v>
                </c:pt>
                <c:pt idx="123">
                  <c:v>46.867451472089634</c:v>
                </c:pt>
                <c:pt idx="124">
                  <c:v>46.937213438915322</c:v>
                </c:pt>
                <c:pt idx="125">
                  <c:v>47.005421804265396</c:v>
                </c:pt>
                <c:pt idx="126">
                  <c:v>47.072111166899823</c:v>
                </c:pt>
                <c:pt idx="127">
                  <c:v>47.13731535506296</c:v>
                </c:pt>
                <c:pt idx="128">
                  <c:v>47.201067443642955</c:v>
                </c:pt>
                <c:pt idx="129">
                  <c:v>47.263399770949043</c:v>
                </c:pt>
                <c:pt idx="130">
                  <c:v>47.324343955115147</c:v>
                </c:pt>
                <c:pt idx="131">
                  <c:v>47.383930910138218</c:v>
                </c:pt>
                <c:pt idx="132">
                  <c:v>47.442190861559425</c:v>
                </c:pt>
                <c:pt idx="133">
                  <c:v>47.499153361796047</c:v>
                </c:pt>
                <c:pt idx="134">
                  <c:v>47.554847305131986</c:v>
                </c:pt>
                <c:pt idx="135">
                  <c:v>47.609300942374404</c:v>
                </c:pt>
                <c:pt idx="136">
                  <c:v>47.662541895184006</c:v>
                </c:pt>
                <c:pt idx="137">
                  <c:v>47.714597170086122</c:v>
                </c:pt>
                <c:pt idx="138">
                  <c:v>47.765493172169805</c:v>
                </c:pt>
                <c:pt idx="139">
                  <c:v>47.815255718481851</c:v>
                </c:pt>
                <c:pt idx="140">
                  <c:v>47.863910051122481</c:v>
                </c:pt>
                <c:pt idx="141">
                  <c:v>47.911480850049472</c:v>
                </c:pt>
                <c:pt idx="142">
                  <c:v>47.957992245597062</c:v>
                </c:pt>
                <c:pt idx="143">
                  <c:v>48.003467830716076</c:v>
                </c:pt>
                <c:pt idx="144">
                  <c:v>48.047930672941511</c:v>
                </c:pt>
                <c:pt idx="145">
                  <c:v>48.091403326093527</c:v>
                </c:pt>
                <c:pt idx="146">
                  <c:v>48.1339078417179</c:v>
                </c:pt>
                <c:pt idx="147">
                  <c:v>48.175465780271715</c:v>
                </c:pt>
                <c:pt idx="148">
                  <c:v>48.216098222059912</c:v>
                </c:pt>
                <c:pt idx="149">
                  <c:v>48.255825777928273</c:v>
                </c:pt>
                <c:pt idx="150">
                  <c:v>48.294668599718349</c:v>
                </c:pt>
                <c:pt idx="151">
                  <c:v>48.332646390489437</c:v>
                </c:pt>
                <c:pt idx="152">
                  <c:v>48.369778414513</c:v>
                </c:pt>
                <c:pt idx="153">
                  <c:v>48.406083507044521</c:v>
                </c:pt>
                <c:pt idx="154">
                  <c:v>48.441580083877646</c:v>
                </c:pt>
                <c:pt idx="155">
                  <c:v>48.476286150685659</c:v>
                </c:pt>
                <c:pt idx="156">
                  <c:v>48.510219312154867</c:v>
                </c:pt>
                <c:pt idx="157">
                  <c:v>48.54339678091457</c:v>
                </c:pt>
                <c:pt idx="158">
                  <c:v>48.575835386268217</c:v>
                </c:pt>
                <c:pt idx="159">
                  <c:v>48.607551582730061</c:v>
                </c:pt>
                <c:pt idx="160">
                  <c:v>48.638561458371747</c:v>
                </c:pt>
                <c:pt idx="161">
                  <c:v>48.668880742983006</c:v>
                </c:pt>
                <c:pt idx="162">
                  <c:v>48.698524816050565</c:v>
                </c:pt>
                <c:pt idx="163">
                  <c:v>48.727508714559455</c:v>
                </c:pt>
                <c:pt idx="164">
                  <c:v>48.755847140620517</c:v>
                </c:pt>
                <c:pt idx="165">
                  <c:v>48.783554468928052</c:v>
                </c:pt>
                <c:pt idx="166">
                  <c:v>48.810644754051424</c:v>
                </c:pt>
                <c:pt idx="167">
                  <c:v>48.837131737564228</c:v>
                </c:pt>
                <c:pt idx="168">
                  <c:v>48.863028855014726</c:v>
                </c:pt>
                <c:pt idx="169">
                  <c:v>48.88834924274105</c:v>
                </c:pt>
                <c:pt idx="170">
                  <c:v>48.913105744534619</c:v>
                </c:pt>
                <c:pt idx="171">
                  <c:v>48.937310918155148</c:v>
                </c:pt>
                <c:pt idx="172">
                  <c:v>48.960977041700609</c:v>
                </c:pt>
                <c:pt idx="173">
                  <c:v>48.984116119835292</c:v>
                </c:pt>
                <c:pt idx="174">
                  <c:v>49.006739889879192</c:v>
                </c:pt>
                <c:pt idx="175">
                  <c:v>49.028859827761771</c:v>
                </c:pt>
                <c:pt idx="176">
                  <c:v>49.050487153843122</c:v>
                </c:pt>
                <c:pt idx="177">
                  <c:v>49.071632838605531</c:v>
                </c:pt>
                <c:pt idx="178">
                  <c:v>49.092307608218263</c:v>
                </c:pt>
                <c:pt idx="179">
                  <c:v>49.112521949978408</c:v>
                </c:pt>
                <c:pt idx="180">
                  <c:v>49.132286117630564</c:v>
                </c:pt>
                <c:pt idx="181">
                  <c:v>49.151610136568081</c:v>
                </c:pt>
                <c:pt idx="182">
                  <c:v>49.170503808918454</c:v>
                </c:pt>
                <c:pt idx="183">
                  <c:v>49.188976718515441</c:v>
                </c:pt>
                <c:pt idx="184">
                  <c:v>49.207038235760486</c:v>
                </c:pt>
                <c:pt idx="185">
                  <c:v>49.224697522375848</c:v>
                </c:pt>
                <c:pt idx="186">
                  <c:v>49.241963536051934</c:v>
                </c:pt>
                <c:pt idx="187">
                  <c:v>49.258845034991033</c:v>
                </c:pt>
                <c:pt idx="188">
                  <c:v>49.275350582349986</c:v>
                </c:pt>
                <c:pt idx="189">
                  <c:v>49.291488550583814</c:v>
                </c:pt>
                <c:pt idx="190">
                  <c:v>49.307267125692675</c:v>
                </c:pt>
                <c:pt idx="191">
                  <c:v>49.322694311374214</c:v>
                </c:pt>
                <c:pt idx="192">
                  <c:v>49.33777793308343</c:v>
                </c:pt>
                <c:pt idx="193">
                  <c:v>49.352525642002178</c:v>
                </c:pt>
                <c:pt idx="194">
                  <c:v>49.366944918920211</c:v>
                </c:pt>
                <c:pt idx="195">
                  <c:v>49.38104307802984</c:v>
                </c:pt>
                <c:pt idx="196">
                  <c:v>49.39482727063605</c:v>
                </c:pt>
                <c:pt idx="197">
                  <c:v>49.408304488784005</c:v>
                </c:pt>
                <c:pt idx="198">
                  <c:v>49.421481568805774</c:v>
                </c:pt>
                <c:pt idx="199">
                  <c:v>49.434365194788086</c:v>
                </c:pt>
                <c:pt idx="200">
                  <c:v>49.446961901962794</c:v>
                </c:pt>
                <c:pt idx="201">
                  <c:v>49.459278080021924</c:v>
                </c:pt>
                <c:pt idx="202">
                  <c:v>49.471319976358835</c:v>
                </c:pt>
                <c:pt idx="203">
                  <c:v>49.483093699237202</c:v>
                </c:pt>
                <c:pt idx="204">
                  <c:v>49.494605220889468</c:v>
                </c:pt>
                <c:pt idx="205">
                  <c:v>49.505860380546224</c:v>
                </c:pt>
                <c:pt idx="206">
                  <c:v>49.516864887398221</c:v>
                </c:pt>
                <c:pt idx="207">
                  <c:v>49.527624323492297</c:v>
                </c:pt>
                <c:pt idx="208">
                  <c:v>49.538144146562928</c:v>
                </c:pt>
                <c:pt idx="209">
                  <c:v>49.548429692800653</c:v>
                </c:pt>
                <c:pt idx="210">
                  <c:v>49.558486179558841</c:v>
                </c:pt>
                <c:pt idx="211">
                  <c:v>49.568318708000227</c:v>
                </c:pt>
                <c:pt idx="212">
                  <c:v>49.577932265684467</c:v>
                </c:pt>
                <c:pt idx="213">
                  <c:v>49.587331729098096</c:v>
                </c:pt>
                <c:pt idx="214">
                  <c:v>49.596521866128114</c:v>
                </c:pt>
                <c:pt idx="215">
                  <c:v>49.6055073384805</c:v>
                </c:pt>
                <c:pt idx="216">
                  <c:v>49.6142927040449</c:v>
                </c:pt>
                <c:pt idx="217">
                  <c:v>49.622882419206562</c:v>
                </c:pt>
                <c:pt idx="218">
                  <c:v>49.631280841106907</c:v>
                </c:pt>
                <c:pt idx="219">
                  <c:v>49.639492229853644</c:v>
                </c:pt>
                <c:pt idx="220">
                  <c:v>49.647520750681736</c:v>
                </c:pt>
                <c:pt idx="221">
                  <c:v>49.655370476066224</c:v>
                </c:pt>
                <c:pt idx="222">
                  <c:v>49.663045387787975</c:v>
                </c:pt>
                <c:pt idx="223">
                  <c:v>49.67054937895346</c:v>
                </c:pt>
                <c:pt idx="224">
                  <c:v>49.677886255969526</c:v>
                </c:pt>
                <c:pt idx="225">
                  <c:v>49.685059740474216</c:v>
                </c:pt>
                <c:pt idx="226">
                  <c:v>49.692073471224546</c:v>
                </c:pt>
                <c:pt idx="227">
                  <c:v>49.698931005942299</c:v>
                </c:pt>
                <c:pt idx="228">
                  <c:v>49.705635823118648</c:v>
                </c:pt>
                <c:pt idx="229">
                  <c:v>49.712191323778669</c:v>
                </c:pt>
                <c:pt idx="230">
                  <c:v>49.71860083320648</c:v>
                </c:pt>
                <c:pt idx="231">
                  <c:v>49.724867602631988</c:v>
                </c:pt>
                <c:pt idx="232">
                  <c:v>49.730994810880112</c:v>
                </c:pt>
                <c:pt idx="233">
                  <c:v>49.736985565983218</c:v>
                </c:pt>
                <c:pt idx="234">
                  <c:v>49.742842906757694</c:v>
                </c:pt>
                <c:pt idx="235">
                  <c:v>49.748569804345365</c:v>
                </c:pt>
                <c:pt idx="236">
                  <c:v>49.754169163720633</c:v>
                </c:pt>
                <c:pt idx="237">
                  <c:v>49.759643825164005</c:v>
                </c:pt>
                <c:pt idx="238">
                  <c:v>49.764996565702859</c:v>
                </c:pt>
                <c:pt idx="239">
                  <c:v>49.770230100520045</c:v>
                </c:pt>
                <c:pt idx="240">
                  <c:v>49.77534708433123</c:v>
                </c:pt>
                <c:pt idx="241">
                  <c:v>49.780350112731448</c:v>
                </c:pt>
                <c:pt idx="242">
                  <c:v>49.785241723511731</c:v>
                </c:pt>
                <c:pt idx="243">
                  <c:v>49.790024397946439</c:v>
                </c:pt>
                <c:pt idx="244">
                  <c:v>49.794700562051851</c:v>
                </c:pt>
                <c:pt idx="245">
                  <c:v>49.799272587816773</c:v>
                </c:pt>
                <c:pt idx="246">
                  <c:v>49.803742794405743</c:v>
                </c:pt>
                <c:pt idx="247">
                  <c:v>49.808113449335423</c:v>
                </c:pt>
                <c:pt idx="248">
                  <c:v>49.812386769624787</c:v>
                </c:pt>
                <c:pt idx="249">
                  <c:v>49.816564922919746</c:v>
                </c:pt>
                <c:pt idx="250">
                  <c:v>49.820650028592624</c:v>
                </c:pt>
                <c:pt idx="251">
                  <c:v>49.824644158817271</c:v>
                </c:pt>
                <c:pt idx="252">
                  <c:v>49.828549339620146</c:v>
                </c:pt>
                <c:pt idx="253">
                  <c:v>49.832367551908035</c:v>
                </c:pt>
                <c:pt idx="254">
                  <c:v>49.836100732472843</c:v>
                </c:pt>
                <c:pt idx="255">
                  <c:v>49.83975077497405</c:v>
                </c:pt>
                <c:pt idx="256">
                  <c:v>49.843319530899301</c:v>
                </c:pt>
                <c:pt idx="257">
                  <c:v>49.846808810503504</c:v>
                </c:pt>
                <c:pt idx="258">
                  <c:v>49.850220383727169</c:v>
                </c:pt>
                <c:pt idx="259">
                  <c:v>49.853555981094132</c:v>
                </c:pt>
                <c:pt idx="260">
                  <c:v>49.856817294589426</c:v>
                </c:pt>
                <c:pt idx="261">
                  <c:v>49.860005978517499</c:v>
                </c:pt>
                <c:pt idx="262">
                  <c:v>49.8631236503414</c:v>
                </c:pt>
                <c:pt idx="263">
                  <c:v>49.866171891503193</c:v>
                </c:pt>
                <c:pt idx="264">
                  <c:v>49.8691522482262</c:v>
                </c:pt>
                <c:pt idx="265">
                  <c:v>49.872066232299275</c:v>
                </c:pt>
                <c:pt idx="266">
                  <c:v>49.87491532184368</c:v>
                </c:pt>
                <c:pt idx="267">
                  <c:v>49.877700962062889</c:v>
                </c:pt>
                <c:pt idx="268">
                  <c:v>49.880424565975602</c:v>
                </c:pt>
                <c:pt idx="269">
                  <c:v>49.883087515132573</c:v>
                </c:pt>
                <c:pt idx="270">
                  <c:v>49.885691160317371</c:v>
                </c:pt>
                <c:pt idx="271">
                  <c:v>49.888236822231548</c:v>
                </c:pt>
                <c:pt idx="272">
                  <c:v>49.890725792164609</c:v>
                </c:pt>
                <c:pt idx="273">
                  <c:v>49.893159332648978</c:v>
                </c:pt>
                <c:pt idx="274">
                  <c:v>49.895538678100444</c:v>
                </c:pt>
                <c:pt idx="275">
                  <c:v>49.897865035444312</c:v>
                </c:pt>
                <c:pt idx="276">
                  <c:v>49.900139584727619</c:v>
                </c:pt>
                <c:pt idx="277">
                  <c:v>49.902363479717707</c:v>
                </c:pt>
                <c:pt idx="278">
                  <c:v>49.904537848487486</c:v>
                </c:pt>
                <c:pt idx="279">
                  <c:v>49.90666379398764</c:v>
                </c:pt>
                <c:pt idx="280">
                  <c:v>49.908742394606101</c:v>
                </c:pt>
                <c:pt idx="281">
                  <c:v>49.91077470471506</c:v>
                </c:pt>
                <c:pt idx="282">
                  <c:v>49.912761755205807</c:v>
                </c:pt>
                <c:pt idx="283">
                  <c:v>49.914704554011649</c:v>
                </c:pt>
                <c:pt idx="284">
                  <c:v>49.916604086619174</c:v>
                </c:pt>
                <c:pt idx="285">
                  <c:v>49.918461316568155</c:v>
                </c:pt>
                <c:pt idx="286">
                  <c:v>49.9202771859403</c:v>
                </c:pt>
                <c:pt idx="287">
                  <c:v>49.922052615837117</c:v>
                </c:pt>
                <c:pt idx="288">
                  <c:v>49.92378850684716</c:v>
                </c:pt>
                <c:pt idx="289">
                  <c:v>49.92548573950284</c:v>
                </c:pt>
                <c:pt idx="290">
                  <c:v>49.927145174727073</c:v>
                </c:pt>
                <c:pt idx="291">
                  <c:v>49.928767654270011</c:v>
                </c:pt>
                <c:pt idx="292">
                  <c:v>49.930354001135974</c:v>
                </c:pt>
                <c:pt idx="293">
                  <c:v>49.931905020000961</c:v>
                </c:pt>
                <c:pt idx="294">
                  <c:v>49.933421497620813</c:v>
                </c:pt>
                <c:pt idx="295">
                  <c:v>49.934904203230289</c:v>
                </c:pt>
                <c:pt idx="296">
                  <c:v>49.936353888933247</c:v>
                </c:pt>
                <c:pt idx="297">
                  <c:v>49.937771290084186</c:v>
                </c:pt>
                <c:pt idx="298">
                  <c:v>49.939157125661211</c:v>
                </c:pt>
                <c:pt idx="299">
                  <c:v>49.940512098630791</c:v>
                </c:pt>
                <c:pt idx="300">
                  <c:v>49.941836896304274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D6-4492-8999-180DF6DB138A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PID  p(t) [deg/s]</c:v>
                </c:pt>
              </c:strCache>
            </c:strRef>
          </c:tx>
          <c:spPr>
            <a:ln w="25400" cap="rnd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20000"/>
                  <a:lumOff val="80000"/>
                </a:schemeClr>
              </a:solidFill>
              <a:ln w="9525">
                <a:solidFill>
                  <a:schemeClr val="accent5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Sheet1!$D$2:$D$302</c:f>
              <c:numCache>
                <c:formatCode>General</c:formatCode>
                <c:ptCount val="3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</c:numCache>
            </c:numRef>
          </c:xVal>
          <c:yVal>
            <c:numRef>
              <c:f>Sheet1!$V$2:$V$302</c:f>
              <c:numCache>
                <c:formatCode>0.00000000</c:formatCode>
                <c:ptCount val="301"/>
                <c:pt idx="0" formatCode="General">
                  <c:v>0</c:v>
                </c:pt>
                <c:pt idx="1">
                  <c:v>18.447978576440871</c:v>
                </c:pt>
                <c:pt idx="2" formatCode="General">
                  <c:v>28.093336379781114</c:v>
                </c:pt>
                <c:pt idx="3" formatCode="General">
                  <c:v>34.857924169787779</c:v>
                </c:pt>
                <c:pt idx="4" formatCode="General">
                  <c:v>39.29759499275815</c:v>
                </c:pt>
                <c:pt idx="5" formatCode="General">
                  <c:v>42.254272784114519</c:v>
                </c:pt>
                <c:pt idx="6" formatCode="General">
                  <c:v>44.219580405467298</c:v>
                </c:pt>
                <c:pt idx="7" formatCode="General">
                  <c:v>45.528772788144238</c:v>
                </c:pt>
                <c:pt idx="8" formatCode="General">
                  <c:v>46.402787369558418</c:v>
                </c:pt>
                <c:pt idx="9" formatCode="General">
                  <c:v>46.9882745838568</c:v>
                </c:pt>
                <c:pt idx="10" formatCode="General">
                  <c:v>47.382427648030209</c:v>
                </c:pt>
                <c:pt idx="11" formatCode="General">
                  <c:v>47.649682789056492</c:v>
                </c:pt>
                <c:pt idx="12" formatCode="General">
                  <c:v>47.832756577439987</c:v>
                </c:pt>
                <c:pt idx="13" formatCode="General">
                  <c:v>47.959967610538875</c:v>
                </c:pt>
                <c:pt idx="14" formatCode="General">
                  <c:v>48.050089590479423</c:v>
                </c:pt>
                <c:pt idx="15" formatCode="General">
                  <c:v>48.115568655008545</c:v>
                </c:pt>
                <c:pt idx="16" formatCode="General">
                  <c:v>48.164656220549418</c:v>
                </c:pt>
                <c:pt idx="17" formatCode="General">
                  <c:v>48.202822903770844</c:v>
                </c:pt>
                <c:pt idx="18" formatCode="General">
                  <c:v>48.233695848444313</c:v>
                </c:pt>
                <c:pt idx="19" formatCode="General">
                  <c:v>48.259680104998168</c:v>
                </c:pt>
                <c:pt idx="20" formatCode="General">
                  <c:v>48.282370559968626</c:v>
                </c:pt>
                <c:pt idx="21" formatCode="General">
                  <c:v>48.302825015286018</c:v>
                </c:pt>
                <c:pt idx="22" formatCode="General">
                  <c:v>48.321745220008403</c:v>
                </c:pt>
                <c:pt idx="23" formatCode="General">
                  <c:v>48.339596881228886</c:v>
                </c:pt>
                <c:pt idx="24" formatCode="General">
                  <c:v>48.356689222616637</c:v>
                </c:pt>
                <c:pt idx="25" formatCode="General">
                  <c:v>48.373227725983739</c:v>
                </c:pt>
                <c:pt idx="26" formatCode="General">
                  <c:v>48.389349095149853</c:v>
                </c:pt>
                <c:pt idx="27" formatCode="General">
                  <c:v>48.405144434484207</c:v>
                </c:pt>
                <c:pt idx="28" formatCode="General">
                  <c:v>48.42067461463617</c:v>
                </c:pt>
                <c:pt idx="29" formatCode="General">
                  <c:v>48.435980458940136</c:v>
                </c:pt>
                <c:pt idx="30" formatCode="General">
                  <c:v>48.451089496304206</c:v>
                </c:pt>
                <c:pt idx="31" formatCode="General">
                  <c:v>48.466020437927064</c:v>
                </c:pt>
                <c:pt idx="32" formatCode="General">
                  <c:v>48.480786145078355</c:v>
                </c:pt>
                <c:pt idx="33" formatCode="General">
                  <c:v>48.495395596563483</c:v>
                </c:pt>
                <c:pt idx="34" formatCode="General">
                  <c:v>48.509855193051656</c:v>
                </c:pt>
                <c:pt idx="35" formatCode="General">
                  <c:v>48.524169621792154</c:v>
                </c:pt>
                <c:pt idx="36" formatCode="General">
                  <c:v>48.538342429899529</c:v>
                </c:pt>
                <c:pt idx="37" formatCode="General">
                  <c:v>48.552376404440885</c:v>
                </c:pt>
                <c:pt idx="38" formatCode="General">
                  <c:v>48.566273824446597</c:v>
                </c:pt>
                <c:pt idx="39" formatCode="General">
                  <c:v>48.580036628015137</c:v>
                </c:pt>
                <c:pt idx="40" formatCode="General">
                  <c:v>48.593666523131255</c:v>
                </c:pt>
                <c:pt idx="41" formatCode="General">
                  <c:v>48.607165061169603</c:v>
                </c:pt>
                <c:pt idx="42" formatCode="General">
                  <c:v>48.620533685661357</c:v>
                </c:pt>
                <c:pt idx="43" formatCode="General">
                  <c:v>48.633773764661484</c:v>
                </c:pt>
                <c:pt idx="44" formatCode="General">
                  <c:v>48.646886612244174</c:v>
                </c:pt>
                <c:pt idx="45" formatCode="General">
                  <c:v>48.659873502790532</c:v>
                </c:pt>
                <c:pt idx="46" formatCode="General">
                  <c:v>48.672735680497908</c:v>
                </c:pt>
                <c:pt idx="47" formatCode="General">
                  <c:v>48.685474365720879</c:v>
                </c:pt>
                <c:pt idx="48" formatCode="General">
                  <c:v>48.698090759211802</c:v>
                </c:pt>
                <c:pt idx="49" formatCode="General">
                  <c:v>48.710586044968309</c:v>
                </c:pt>
                <c:pt idx="50" formatCode="General">
                  <c:v>48.722961392157139</c:v>
                </c:pt>
                <c:pt idx="51" formatCode="General">
                  <c:v>48.73521795642521</c:v>
                </c:pt>
                <c:pt idx="52" formatCode="General">
                  <c:v>48.747356880804169</c:v>
                </c:pt>
                <c:pt idx="53" formatCode="General">
                  <c:v>48.759379296345109</c:v>
                </c:pt>
                <c:pt idx="54" formatCode="General">
                  <c:v>48.771286322574042</c:v>
                </c:pt>
                <c:pt idx="55" formatCode="General">
                  <c:v>48.78307906782824</c:v>
                </c:pt>
                <c:pt idx="56" formatCode="General">
                  <c:v>48.794758629513268</c:v>
                </c:pt>
                <c:pt idx="57" formatCode="General">
                  <c:v>48.806326094307082</c:v>
                </c:pt>
                <c:pt idx="58" formatCode="General">
                  <c:v>48.817782538328778</c:v>
                </c:pt>
                <c:pt idx="59" formatCode="General">
                  <c:v>48.829129027283521</c:v>
                </c:pt>
                <c:pt idx="60" formatCode="General">
                  <c:v>48.840366616591382</c:v>
                </c:pt>
                <c:pt idx="61" formatCode="General">
                  <c:v>48.851496351505219</c:v>
                </c:pt>
                <c:pt idx="62" formatCode="General">
                  <c:v>48.862519267220947</c:v>
                </c:pt>
                <c:pt idx="63" formatCode="General">
                  <c:v>48.873436388982519</c:v>
                </c:pt>
                <c:pt idx="64" formatCode="General">
                  <c:v>48.884248732182968</c:v>
                </c:pt>
                <c:pt idx="65" formatCode="General">
                  <c:v>48.894957302462693</c:v>
                </c:pt>
                <c:pt idx="66" formatCode="General">
                  <c:v>48.905563095805505</c:v>
                </c:pt>
                <c:pt idx="67" formatCode="General">
                  <c:v>48.916067098632929</c:v>
                </c:pt>
                <c:pt idx="68" formatCode="General">
                  <c:v>48.926470287897054</c:v>
                </c:pt>
                <c:pt idx="69" formatCode="General">
                  <c:v>48.936773631172144</c:v>
                </c:pt>
                <c:pt idx="70" formatCode="General">
                  <c:v>48.946978086745091</c:v>
                </c:pt>
                <c:pt idx="71" formatCode="General">
                  <c:v>48.957084603704914</c:v>
                </c:pt>
                <c:pt idx="72" formatCode="General">
                  <c:v>48.967094122031185</c:v>
                </c:pt>
                <c:pt idx="73" formatCode="General">
                  <c:v>48.977007572681643</c:v>
                </c:pt>
                <c:pt idx="74" formatCode="General">
                  <c:v>48.986825877678861</c:v>
                </c:pt>
                <c:pt idx="75" formatCode="General">
                  <c:v>48.996549950196055</c:v>
                </c:pt>
                <c:pt idx="76" formatCode="General">
                  <c:v>49.006180694642048</c:v>
                </c:pt>
                <c:pt idx="77" formatCode="General">
                  <c:v>49.015719006745442</c:v>
                </c:pt>
                <c:pt idx="78" formatCode="General">
                  <c:v>49.025165773637937</c:v>
                </c:pt>
                <c:pt idx="79" formatCode="General">
                  <c:v>49.034521873936825</c:v>
                </c:pt>
                <c:pt idx="80" formatCode="General">
                  <c:v>49.043788177826762</c:v>
                </c:pt>
                <c:pt idx="81" formatCode="General">
                  <c:v>49.052965547140644</c:v>
                </c:pt>
                <c:pt idx="82" formatCode="General">
                  <c:v>49.062054835439852</c:v>
                </c:pt>
                <c:pt idx="83" formatCode="General">
                  <c:v>49.071056888093565</c:v>
                </c:pt>
                <c:pt idx="84" formatCode="General">
                  <c:v>49.079972542357424</c:v>
                </c:pt>
                <c:pt idx="85" formatCode="General">
                  <c:v>49.088802627451393</c:v>
                </c:pt>
                <c:pt idx="86" formatCode="General">
                  <c:v>49.097547964636895</c:v>
                </c:pt>
                <c:pt idx="87" formatCode="General">
                  <c:v>49.106209367293175</c:v>
                </c:pt>
                <c:pt idx="88" formatCode="General">
                  <c:v>49.114787640992972</c:v>
                </c:pt>
                <c:pt idx="89" formatCode="General">
                  <c:v>49.123283583577425</c:v>
                </c:pt>
                <c:pt idx="90" formatCode="General">
                  <c:v>49.131697985230296</c:v>
                </c:pt>
                <c:pt idx="91" formatCode="General">
                  <c:v>49.140031628551462</c:v>
                </c:pt>
                <c:pt idx="92" formatCode="General">
                  <c:v>49.148285288629673</c:v>
                </c:pt>
                <c:pt idx="93" formatCode="General">
                  <c:v>49.156459733114666</c:v>
                </c:pt>
                <c:pt idx="94" formatCode="General">
                  <c:v>49.164555722288576</c:v>
                </c:pt>
                <c:pt idx="95" formatCode="General">
                  <c:v>49.172574009136618</c:v>
                </c:pt>
                <c:pt idx="96" formatCode="General">
                  <c:v>49.18051533941712</c:v>
                </c:pt>
                <c:pt idx="97" formatCode="General">
                  <c:v>49.188380451730922</c:v>
                </c:pt>
                <c:pt idx="98" formatCode="General">
                  <c:v>49.196170077590011</c:v>
                </c:pt>
                <c:pt idx="99" formatCode="General">
                  <c:v>49.203884941485633</c:v>
                </c:pt>
                <c:pt idx="100" formatCode="General">
                  <c:v>49.21152576095561</c:v>
                </c:pt>
                <c:pt idx="101" formatCode="General">
                  <c:v>49.219093246651077</c:v>
                </c:pt>
                <c:pt idx="102" formatCode="General">
                  <c:v>49.226588102402651</c:v>
                </c:pt>
                <c:pt idx="103" formatCode="General">
                  <c:v>49.234011025285795</c:v>
                </c:pt>
                <c:pt idx="104" formatCode="General">
                  <c:v>49.241362705685738</c:v>
                </c:pt>
                <c:pt idx="105" formatCode="General">
                  <c:v>49.248643827361612</c:v>
                </c:pt>
                <c:pt idx="106" formatCode="General">
                  <c:v>49.255855067510105</c:v>
                </c:pt>
                <c:pt idx="107" formatCode="General">
                  <c:v>49.262997096828393</c:v>
                </c:pt>
                <c:pt idx="108" formatCode="General">
                  <c:v>49.27007057957659</c:v>
                </c:pt>
                <c:pt idx="109" formatCode="General">
                  <c:v>49.277076173639436</c:v>
                </c:pt>
                <c:pt idx="110" formatCode="General">
                  <c:v>49.284014530587569</c:v>
                </c:pt>
                <c:pt idx="111" formatCode="General">
                  <c:v>49.290886295738083</c:v>
                </c:pt>
                <c:pt idx="112" formatCode="General">
                  <c:v>49.297692108214555</c:v>
                </c:pt>
                <c:pt idx="113" formatCode="General">
                  <c:v>49.304432601006489</c:v>
                </c:pt>
                <c:pt idx="114" formatCode="General">
                  <c:v>49.311108401028193</c:v>
                </c:pt>
                <c:pt idx="115" formatCode="General">
                  <c:v>49.317720129177069</c:v>
                </c:pt>
                <c:pt idx="116" formatCode="General">
                  <c:v>49.324268400391382</c:v>
                </c:pt>
                <c:pt idx="117" formatCode="General">
                  <c:v>49.330753823707447</c:v>
                </c:pt>
                <c:pt idx="118" formatCode="General">
                  <c:v>49.337177002316274</c:v>
                </c:pt>
                <c:pt idx="119" formatCode="General">
                  <c:v>49.343538533619672</c:v>
                </c:pt>
                <c:pt idx="120" formatCode="General">
                  <c:v>49.349839009285787</c:v>
                </c:pt>
                <c:pt idx="121" formatCode="General">
                  <c:v>49.356079015304189</c:v>
                </c:pt>
                <c:pt idx="122" formatCode="General">
                  <c:v>49.362259132040286</c:v>
                </c:pt>
                <c:pt idx="123" formatCode="General">
                  <c:v>49.368379934289393</c:v>
                </c:pt>
                <c:pt idx="124" formatCode="General">
                  <c:v>49.37444199133013</c:v>
                </c:pt>
                <c:pt idx="125" formatCode="General">
                  <c:v>49.380445866977396</c:v>
                </c:pt>
                <c:pt idx="126" formatCode="General">
                  <c:v>49.386392119634813</c:v>
                </c:pt>
                <c:pt idx="127" formatCode="General">
                  <c:v>49.392281302346625</c:v>
                </c:pt>
                <c:pt idx="128" formatCode="General">
                  <c:v>49.398113962849195</c:v>
                </c:pt>
                <c:pt idx="129" formatCode="General">
                  <c:v>49.403890643621871</c:v>
                </c:pt>
                <c:pt idx="130" formatCode="General">
                  <c:v>49.409611881937529</c:v>
                </c:pt>
                <c:pt idx="131" formatCode="General">
                  <c:v>49.415278209912465</c:v>
                </c:pt>
                <c:pt idx="132" formatCode="General">
                  <c:v>49.420890154555934</c:v>
                </c:pt>
                <c:pt idx="133" formatCode="General">
                  <c:v>49.426448237819152</c:v>
                </c:pt>
                <c:pt idx="134" formatCode="General">
                  <c:v>49.431952976643814</c:v>
                </c:pt>
                <c:pt idx="135" formatCode="General">
                  <c:v>49.437404883010231</c:v>
                </c:pt>
                <c:pt idx="136" formatCode="General">
                  <c:v>49.442804463984906</c:v>
                </c:pt>
                <c:pt idx="137" formatCode="General">
                  <c:v>49.448152221767693</c:v>
                </c:pt>
                <c:pt idx="138" formatCode="General">
                  <c:v>49.453448653738519</c:v>
                </c:pt>
                <c:pt idx="139" formatCode="General">
                  <c:v>49.458694252503662</c:v>
                </c:pt>
                <c:pt idx="140" formatCode="General">
                  <c:v>49.463889505941516</c:v>
                </c:pt>
                <c:pt idx="141" formatCode="General">
                  <c:v>49.469034897248015</c:v>
                </c:pt>
                <c:pt idx="142" formatCode="General">
                  <c:v>49.474130904981564</c:v>
                </c:pt>
                <c:pt idx="143" formatCode="General">
                  <c:v>49.479178003107521</c:v>
                </c:pt>
                <c:pt idx="144" formatCode="General">
                  <c:v>49.484176661042298</c:v>
                </c:pt>
                <c:pt idx="145" formatCode="General">
                  <c:v>49.489127343697042</c:v>
                </c:pt>
                <c:pt idx="146" formatCode="General">
                  <c:v>49.494030511520847</c:v>
                </c:pt>
                <c:pt idx="147" formatCode="General">
                  <c:v>49.49888662054358</c:v>
                </c:pt>
                <c:pt idx="148" formatCode="General">
                  <c:v>49.50369612241829</c:v>
                </c:pt>
                <c:pt idx="149" formatCode="General">
                  <c:v>49.50845946446325</c:v>
                </c:pt>
                <c:pt idx="150" formatCode="General">
                  <c:v>49.513177089703525</c:v>
                </c:pt>
                <c:pt idx="151" formatCode="General">
                  <c:v>49.517849436912179</c:v>
                </c:pt>
                <c:pt idx="152" formatCode="General">
                  <c:v>49.52247694065111</c:v>
                </c:pt>
                <c:pt idx="153" formatCode="General">
                  <c:v>49.52706003131145</c:v>
                </c:pt>
                <c:pt idx="154" formatCode="General">
                  <c:v>49.531599135153584</c:v>
                </c:pt>
                <c:pt idx="155" formatCode="General">
                  <c:v>49.536094674346813</c:v>
                </c:pt>
                <c:pt idx="156" formatCode="General">
                  <c:v>49.540547067008603</c:v>
                </c:pt>
                <c:pt idx="157" formatCode="General">
                  <c:v>49.544956727243502</c:v>
                </c:pt>
                <c:pt idx="158" formatCode="General">
                  <c:v>49.549324065181622</c:v>
                </c:pt>
                <c:pt idx="159" formatCode="General">
                  <c:v>49.553649487016791</c:v>
                </c:pt>
                <c:pt idx="160" formatCode="General">
                  <c:v>49.557933395044351</c:v>
                </c:pt>
                <c:pt idx="161" formatCode="General">
                  <c:v>49.562176187698554</c:v>
                </c:pt>
                <c:pt idx="162" formatCode="General">
                  <c:v>49.566378259589634</c:v>
                </c:pt>
                <c:pt idx="163" formatCode="General">
                  <c:v>49.570540001540493</c:v>
                </c:pt>
                <c:pt idx="164" formatCode="General">
                  <c:v>49.574661800623055</c:v>
                </c:pt>
                <c:pt idx="165" formatCode="General">
                  <c:v>49.578744040194287</c:v>
                </c:pt>
                <c:pt idx="166" formatCode="General">
                  <c:v>49.582787099931821</c:v>
                </c:pt>
                <c:pt idx="167" formatCode="General">
                  <c:v>49.586791355869288</c:v>
                </c:pt>
                <c:pt idx="168" formatCode="General">
                  <c:v>49.590757180431289</c:v>
                </c:pt>
                <c:pt idx="169" formatCode="General">
                  <c:v>49.594684942468021</c:v>
                </c:pt>
                <c:pt idx="170" formatCode="General">
                  <c:v>49.598575007289611</c:v>
                </c:pt>
                <c:pt idx="171" formatCode="General">
                  <c:v>49.602427736700044</c:v>
                </c:pt>
                <c:pt idx="172" formatCode="General">
                  <c:v>49.606243489030881</c:v>
                </c:pt>
                <c:pt idx="173" formatCode="General">
                  <c:v>49.610022619174522</c:v>
                </c:pt>
                <c:pt idx="174" formatCode="General">
                  <c:v>49.613765478617253</c:v>
                </c:pt>
                <c:pt idx="175" formatCode="General">
                  <c:v>49.617472415471909</c:v>
                </c:pt>
                <c:pt idx="176" formatCode="General">
                  <c:v>49.621143774510287</c:v>
                </c:pt>
                <c:pt idx="177" formatCode="General">
                  <c:v>49.624779897195168</c:v>
                </c:pt>
                <c:pt idx="178" formatCode="General">
                  <c:v>49.628381121712117</c:v>
                </c:pt>
                <c:pt idx="179" formatCode="General">
                  <c:v>49.631947783000911</c:v>
                </c:pt>
                <c:pt idx="180" formatCode="General">
                  <c:v>49.635480212786696</c:v>
                </c:pt>
                <c:pt idx="181" formatCode="General">
                  <c:v>49.638978739610856</c:v>
                </c:pt>
                <c:pt idx="182" formatCode="General">
                  <c:v>49.64244368886154</c:v>
                </c:pt>
                <c:pt idx="183" formatCode="General">
                  <c:v>49.645875382803936</c:v>
                </c:pt>
                <c:pt idx="184" formatCode="General">
                  <c:v>49.649274140610267</c:v>
                </c:pt>
                <c:pt idx="185" formatCode="General">
                  <c:v>49.652640278389455</c:v>
                </c:pt>
                <c:pt idx="186" formatCode="General">
                  <c:v>49.655974109216523</c:v>
                </c:pt>
                <c:pt idx="187" formatCode="General">
                  <c:v>49.659275943161703</c:v>
                </c:pt>
                <c:pt idx="188" formatCode="General">
                  <c:v>49.662546087319299</c:v>
                </c:pt>
                <c:pt idx="189" formatCode="General">
                  <c:v>49.665784845836242</c:v>
                </c:pt>
                <c:pt idx="190" formatCode="General">
                  <c:v>49.668992519940353</c:v>
                </c:pt>
                <c:pt idx="191" formatCode="General">
                  <c:v>49.672169407968404</c:v>
                </c:pt>
                <c:pt idx="192" formatCode="General">
                  <c:v>49.675315805393822</c:v>
                </c:pt>
                <c:pt idx="193" formatCode="General">
                  <c:v>49.678432004854201</c:v>
                </c:pt>
                <c:pt idx="194" formatCode="General">
                  <c:v>49.681518296178488</c:v>
                </c:pt>
                <c:pt idx="195" formatCode="General">
                  <c:v>49.684574966413976</c:v>
                </c:pt>
                <c:pt idx="196" formatCode="General">
                  <c:v>49.687602299852983</c:v>
                </c:pt>
                <c:pt idx="197" formatCode="General">
                  <c:v>49.690600578059296</c:v>
                </c:pt>
                <c:pt idx="198" formatCode="General">
                  <c:v>49.693570079894336</c:v>
                </c:pt>
                <c:pt idx="199" formatCode="General">
                  <c:v>49.696511081543136</c:v>
                </c:pt>
                <c:pt idx="200" formatCode="General">
                  <c:v>49.699423856539994</c:v>
                </c:pt>
                <c:pt idx="201" formatCode="General">
                  <c:v>49.702308675793937</c:v>
                </c:pt>
                <c:pt idx="202" formatCode="General">
                  <c:v>49.705165807613902</c:v>
                </c:pt>
                <c:pt idx="203" formatCode="General">
                  <c:v>49.707995517733693</c:v>
                </c:pt>
                <c:pt idx="204" formatCode="General">
                  <c:v>49.710798069336697</c:v>
                </c:pt>
                <c:pt idx="205" formatCode="General">
                  <c:v>49.713573723080373</c:v>
                </c:pt>
                <c:pt idx="206" formatCode="General">
                  <c:v>49.716322737120485</c:v>
                </c:pt>
                <c:pt idx="207" formatCode="General">
                  <c:v>49.719045367135095</c:v>
                </c:pt>
                <c:pt idx="208" formatCode="General">
                  <c:v>49.721741866348388</c:v>
                </c:pt>
                <c:pt idx="209" formatCode="General">
                  <c:v>49.724412485554176</c:v>
                </c:pt>
                <c:pt idx="210" formatCode="General">
                  <c:v>49.72705747313924</c:v>
                </c:pt>
                <c:pt idx="211" formatCode="General">
                  <c:v>49.729677075106466</c:v>
                </c:pt>
                <c:pt idx="212" formatCode="General">
                  <c:v>49.732271535097659</c:v>
                </c:pt>
                <c:pt idx="213" formatCode="General">
                  <c:v>49.734841094416268</c:v>
                </c:pt>
                <c:pt idx="214" formatCode="General">
                  <c:v>49.737385992049781</c:v>
                </c:pt>
                <c:pt idx="215" formatCode="General">
                  <c:v>49.739906464691984</c:v>
                </c:pt>
                <c:pt idx="216" formatCode="General">
                  <c:v>49.742402746764967</c:v>
                </c:pt>
                <c:pt idx="217" formatCode="General">
                  <c:v>49.744875070440891</c:v>
                </c:pt>
                <c:pt idx="218" formatCode="General">
                  <c:v>49.747323665663657</c:v>
                </c:pt>
                <c:pt idx="219" formatCode="General">
                  <c:v>49.74974876017022</c:v>
                </c:pt>
                <c:pt idx="220" formatCode="General">
                  <c:v>49.752150579511813</c:v>
                </c:pt>
                <c:pt idx="221" formatCode="General">
                  <c:v>49.754529347074907</c:v>
                </c:pt>
                <c:pt idx="222" formatCode="General">
                  <c:v>49.756885284101998</c:v>
                </c:pt>
                <c:pt idx="223" formatCode="General">
                  <c:v>49.759218609712164</c:v>
                </c:pt>
                <c:pt idx="224" formatCode="General">
                  <c:v>49.761529540921472</c:v>
                </c:pt>
                <c:pt idx="225" formatCode="General">
                  <c:v>49.763818292663132</c:v>
                </c:pt>
                <c:pt idx="226" formatCode="General">
                  <c:v>49.766085077807524</c:v>
                </c:pt>
                <c:pt idx="227" formatCode="General">
                  <c:v>49.768330107181974</c:v>
                </c:pt>
                <c:pt idx="228" formatCode="General">
                  <c:v>49.770553589590349</c:v>
                </c:pt>
                <c:pt idx="229" formatCode="General">
                  <c:v>49.772755731832511</c:v>
                </c:pt>
                <c:pt idx="230" formatCode="General">
                  <c:v>49.774936738723511</c:v>
                </c:pt>
                <c:pt idx="231" formatCode="General">
                  <c:v>49.777096813112685</c:v>
                </c:pt>
                <c:pt idx="232" formatCode="General">
                  <c:v>49.779236155902488</c:v>
                </c:pt>
                <c:pt idx="233" formatCode="General">
                  <c:v>49.781354966067184</c:v>
                </c:pt>
                <c:pt idx="234" formatCode="General">
                  <c:v>49.783453440671344</c:v>
                </c:pt>
                <c:pt idx="235" formatCode="General">
                  <c:v>49.785531774888213</c:v>
                </c:pt>
                <c:pt idx="236" formatCode="General">
                  <c:v>49.787590162017814</c:v>
                </c:pt>
                <c:pt idx="237" formatCode="General">
                  <c:v>49.789628793504939</c:v>
                </c:pt>
                <c:pt idx="238" formatCode="General">
                  <c:v>49.791647858956992</c:v>
                </c:pt>
                <c:pt idx="239" formatCode="General">
                  <c:v>49.79364754616158</c:v>
                </c:pt>
                <c:pt idx="240" formatCode="General">
                  <c:v>49.795628041103988</c:v>
                </c:pt>
                <c:pt idx="241" formatCode="General">
                  <c:v>49.797589527984499</c:v>
                </c:pt>
                <c:pt idx="242" formatCode="General">
                  <c:v>49.799532189235478</c:v>
                </c:pt>
                <c:pt idx="243" formatCode="General">
                  <c:v>49.801456205538408</c:v>
                </c:pt>
                <c:pt idx="244" formatCode="General">
                  <c:v>49.803361755840648</c:v>
                </c:pt>
                <c:pt idx="245" formatCode="General">
                  <c:v>49.805249017372063</c:v>
                </c:pt>
                <c:pt idx="246" formatCode="General">
                  <c:v>49.807118165661549</c:v>
                </c:pt>
                <c:pt idx="247" formatCode="General">
                  <c:v>49.808969374553349</c:v>
                </c:pt>
                <c:pt idx="248" formatCode="General">
                  <c:v>49.810802816223195</c:v>
                </c:pt>
                <c:pt idx="249" formatCode="General">
                  <c:v>49.81261866119435</c:v>
                </c:pt>
                <c:pt idx="250" formatCode="General">
                  <c:v>49.814417078353458</c:v>
                </c:pt>
                <c:pt idx="251" formatCode="General">
                  <c:v>49.816198234966244</c:v>
                </c:pt>
                <c:pt idx="252" formatCode="General">
                  <c:v>49.817962296693082</c:v>
                </c:pt>
                <c:pt idx="253" formatCode="General">
                  <c:v>49.819709427604401</c:v>
                </c:pt>
                <c:pt idx="254" formatCode="General">
                  <c:v>49.821439790195939</c:v>
                </c:pt>
                <c:pt idx="255" formatCode="General">
                  <c:v>49.823153545403855</c:v>
                </c:pt>
                <c:pt idx="256" formatCode="General">
                  <c:v>49.824850852619718</c:v>
                </c:pt>
                <c:pt idx="257" formatCode="General">
                  <c:v>49.826531869705299</c:v>
                </c:pt>
                <c:pt idx="258" formatCode="General">
                  <c:v>49.828196753007276</c:v>
                </c:pt>
                <c:pt idx="259" formatCode="General">
                  <c:v>49.829845657371777</c:v>
                </c:pt>
                <c:pt idx="260" formatCode="General">
                  <c:v>49.831478736158751</c:v>
                </c:pt>
                <c:pt idx="261" formatCode="General">
                  <c:v>49.833096141256284</c:v>
                </c:pt>
                <c:pt idx="262" formatCode="General">
                  <c:v>49.834698023094667</c:v>
                </c:pt>
                <c:pt idx="263" formatCode="General">
                  <c:v>49.836284530660443</c:v>
                </c:pt>
                <c:pt idx="264" formatCode="General">
                  <c:v>49.837855811510231</c:v>
                </c:pt>
                <c:pt idx="265" formatCode="General">
                  <c:v>49.839412011784425</c:v>
                </c:pt>
                <c:pt idx="266" formatCode="General">
                  <c:v>49.840953276220866</c:v>
                </c:pt>
                <c:pt idx="267" formatCode="General">
                  <c:v>49.842479748168216</c:v>
                </c:pt>
                <c:pt idx="268" formatCode="General">
                  <c:v>49.843991569599353</c:v>
                </c:pt>
                <c:pt idx="269" formatCode="General">
                  <c:v>49.845488881124531</c:v>
                </c:pt>
                <c:pt idx="270" formatCode="General">
                  <c:v>49.846971822004505</c:v>
                </c:pt>
                <c:pt idx="271" formatCode="General">
                  <c:v>49.848440530163423</c:v>
                </c:pt>
                <c:pt idx="272" formatCode="General">
                  <c:v>49.849895142201717</c:v>
                </c:pt>
                <c:pt idx="273" formatCode="General">
                  <c:v>49.851335793408772</c:v>
                </c:pt>
                <c:pt idx="274" formatCode="General">
                  <c:v>49.852762617775497</c:v>
                </c:pt>
                <c:pt idx="275" formatCode="General">
                  <c:v>49.854175748006838</c:v>
                </c:pt>
                <c:pt idx="276" formatCode="General">
                  <c:v>49.855575315534054</c:v>
                </c:pt>
                <c:pt idx="277" formatCode="General">
                  <c:v>49.856961450526995</c:v>
                </c:pt>
                <c:pt idx="278" formatCode="General">
                  <c:v>49.858334281906174</c:v>
                </c:pt>
                <c:pt idx="279" formatCode="General">
                  <c:v>49.859693937354798</c:v>
                </c:pt>
                <c:pt idx="280" formatCode="General">
                  <c:v>49.861040543330589</c:v>
                </c:pt>
                <c:pt idx="281" formatCode="General">
                  <c:v>49.862374225077595</c:v>
                </c:pt>
                <c:pt idx="282" formatCode="General">
                  <c:v>49.863695106637806</c:v>
                </c:pt>
                <c:pt idx="283" formatCode="General">
                  <c:v>49.865003310862704</c:v>
                </c:pt>
                <c:pt idx="284" formatCode="General">
                  <c:v>49.866298959424689</c:v>
                </c:pt>
                <c:pt idx="285" formatCode="General">
                  <c:v>49.867582172828406</c:v>
                </c:pt>
                <c:pt idx="286" formatCode="General">
                  <c:v>49.868853070421913</c:v>
                </c:pt>
                <c:pt idx="287" formatCode="General">
                  <c:v>49.870111770407838</c:v>
                </c:pt>
                <c:pt idx="288" formatCode="General">
                  <c:v>49.871358389854329</c:v>
                </c:pt>
                <c:pt idx="289" formatCode="General">
                  <c:v>49.872593044705951</c:v>
                </c:pt>
                <c:pt idx="290" formatCode="General">
                  <c:v>49.873815849794504</c:v>
                </c:pt>
                <c:pt idx="291" formatCode="General">
                  <c:v>49.875026918849635</c:v>
                </c:pt>
                <c:pt idx="292" formatCode="General">
                  <c:v>49.876226364509485</c:v>
                </c:pt>
                <c:pt idx="293" formatCode="General">
                  <c:v>49.877414298331125</c:v>
                </c:pt>
                <c:pt idx="294" formatCode="General">
                  <c:v>49.878590830800938</c:v>
                </c:pt>
                <c:pt idx="295" formatCode="General">
                  <c:v>49.879756071344907</c:v>
                </c:pt>
                <c:pt idx="296" formatCode="General">
                  <c:v>49.88091012833879</c:v>
                </c:pt>
                <c:pt idx="297" formatCode="General">
                  <c:v>49.882053109118182</c:v>
                </c:pt>
                <c:pt idx="298" formatCode="General">
                  <c:v>49.883185119988511</c:v>
                </c:pt>
                <c:pt idx="299" formatCode="General">
                  <c:v>49.88430626623493</c:v>
                </c:pt>
                <c:pt idx="300" formatCode="General">
                  <c:v>49.885416652132108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D6-4492-8999-180DF6DB1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440096"/>
        <c:axId val="794443696"/>
      </c:scatterChart>
      <c:valAx>
        <c:axId val="794440096"/>
        <c:scaling>
          <c:orientation val="minMax"/>
          <c:max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443696"/>
        <c:crosses val="autoZero"/>
        <c:crossBetween val="midCat"/>
      </c:valAx>
      <c:valAx>
        <c:axId val="79444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440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Limited Deflection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Constant da p [deg/s]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Sheet1!$D$2:$D$302</c:f>
              <c:numCache>
                <c:formatCode>General</c:formatCode>
                <c:ptCount val="3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</c:numCache>
            </c:numRef>
          </c:xVal>
          <c:yVal>
            <c:numRef>
              <c:f>Sheet1!$J$2:$J$302</c:f>
              <c:numCache>
                <c:formatCode>General</c:formatCode>
                <c:ptCount val="301"/>
                <c:pt idx="0">
                  <c:v>0</c:v>
                </c:pt>
                <c:pt idx="1">
                  <c:v>1.1135017734620629</c:v>
                </c:pt>
                <c:pt idx="2">
                  <c:v>2.2022058229340624</c:v>
                </c:pt>
                <c:pt idx="3">
                  <c:v>3.2666643946088136</c:v>
                </c:pt>
                <c:pt idx="4">
                  <c:v>4.3074174361368307</c:v>
                </c:pt>
                <c:pt idx="5">
                  <c:v>5.324992870515298</c:v>
                </c:pt>
                <c:pt idx="6">
                  <c:v>6.3199068638775282</c:v>
                </c:pt>
                <c:pt idx="7">
                  <c:v>7.2926640873187374</c:v>
                </c:pt>
                <c:pt idx="8">
                  <c:v>8.2437579728909505</c:v>
                </c:pt>
                <c:pt idx="9">
                  <c:v>9.1736709638968907</c:v>
                </c:pt>
                <c:pt idx="10">
                  <c:v>10.082874759609821</c:v>
                </c:pt>
                <c:pt idx="11">
                  <c:v>10.971830554543455</c:v>
                </c:pt>
                <c:pt idx="12">
                  <c:v>11.840989272393331</c:v>
                </c:pt>
                <c:pt idx="13">
                  <c:v>12.690791794768289</c:v>
                </c:pt>
                <c:pt idx="14">
                  <c:v>13.521669184828106</c:v>
                </c:pt>
                <c:pt idx="15">
                  <c:v>14.334042905940699</c:v>
                </c:pt>
                <c:pt idx="16">
                  <c:v>15.128325035469837</c:v>
                </c:pt>
                <c:pt idx="17">
                  <c:v>15.904918473801777</c:v>
                </c:pt>
                <c:pt idx="18">
                  <c:v>16.664217148716883</c:v>
                </c:pt>
                <c:pt idx="19">
                  <c:v>17.406606215209884</c:v>
                </c:pt>
                <c:pt idx="20">
                  <c:v>18.132462250860105</c:v>
                </c:pt>
                <c:pt idx="21">
                  <c:v>18.842153446850837</c:v>
                </c:pt>
                <c:pt idx="22">
                  <c:v>19.536039794734645</c:v>
                </c:pt>
                <c:pt idx="23">
                  <c:v>20.214473269039463</c:v>
                </c:pt>
                <c:pt idx="24">
                  <c:v>20.877798005807986</c:v>
                </c:pt>
                <c:pt idx="25">
                  <c:v>21.526350477161049</c:v>
                </c:pt>
                <c:pt idx="26">
                  <c:v>22.160459661973416</c:v>
                </c:pt>
                <c:pt idx="27">
                  <c:v>22.780447212748641</c:v>
                </c:pt>
                <c:pt idx="28">
                  <c:v>23.386627618777613</c:v>
                </c:pt>
                <c:pt idx="29">
                  <c:v>23.979308365663563</c:v>
                </c:pt>
                <c:pt idx="30">
                  <c:v>24.558790091294423</c:v>
                </c:pt>
                <c:pt idx="31">
                  <c:v>25.125366738341711</c:v>
                </c:pt>
                <c:pt idx="32">
                  <c:v>25.679325703363212</c:v>
                </c:pt>
                <c:pt idx="33">
                  <c:v>26.220947982585177</c:v>
                </c:pt>
                <c:pt idx="34">
                  <c:v>26.750508314437937</c:v>
                </c:pt>
                <c:pt idx="35">
                  <c:v>27.268275318917233</c:v>
                </c:pt>
                <c:pt idx="36">
                  <c:v>27.774511633841971</c:v>
                </c:pt>
                <c:pt idx="37">
                  <c:v>28.26947404807752</c:v>
                </c:pt>
                <c:pt idx="38">
                  <c:v>28.753413631792103</c:v>
                </c:pt>
                <c:pt idx="39">
                  <c:v>29.226575863812389</c:v>
                </c:pt>
                <c:pt idx="40">
                  <c:v>29.689200756142878</c:v>
                </c:pt>
                <c:pt idx="41">
                  <c:v>30.141522975712217</c:v>
                </c:pt>
                <c:pt idx="42">
                  <c:v>30.583771963408218</c:v>
                </c:pt>
                <c:pt idx="43">
                  <c:v>31.016172050461996</c:v>
                </c:pt>
                <c:pt idx="44">
                  <c:v>31.438942572240183</c:v>
                </c:pt>
                <c:pt idx="45">
                  <c:v>31.852297979503017</c:v>
                </c:pt>
                <c:pt idx="46">
                  <c:v>32.256447947184704</c:v>
                </c:pt>
                <c:pt idx="47">
                  <c:v>32.651597480751228</c:v>
                </c:pt>
                <c:pt idx="48">
                  <c:v>33.037947020189577</c:v>
                </c:pt>
                <c:pt idx="49">
                  <c:v>33.415692541681103</c:v>
                </c:pt>
                <c:pt idx="50">
                  <c:v>33.785025657010671</c:v>
                </c:pt>
                <c:pt idx="51">
                  <c:v>34.14613371076188</c:v>
                </c:pt>
                <c:pt idx="52">
                  <c:v>34.49919987534782</c:v>
                </c:pt>
                <c:pt idx="53">
                  <c:v>34.844403243925441</c:v>
                </c:pt>
                <c:pt idx="54">
                  <c:v>35.181918921240737</c:v>
                </c:pt>
                <c:pt idx="55">
                  <c:v>35.5119181124508</c:v>
                </c:pt>
                <c:pt idx="56">
                  <c:v>35.834568209967792</c:v>
                </c:pt>
                <c:pt idx="57">
                  <c:v>36.150032878368926</c:v>
                </c:pt>
                <c:pt idx="58">
                  <c:v>36.458472137415484</c:v>
                </c:pt>
                <c:pt idx="59">
                  <c:v>36.760042443222957</c:v>
                </c:pt>
                <c:pt idx="60">
                  <c:v>37.054896767623632</c:v>
                </c:pt>
                <c:pt idx="61">
                  <c:v>37.343184675761641</c:v>
                </c:pt>
                <c:pt idx="62">
                  <c:v>37.625052401960062</c:v>
                </c:pt>
                <c:pt idx="63">
                  <c:v>37.90064292389841</c:v>
                </c:pt>
                <c:pt idx="64">
                  <c:v>38.170096035138208</c:v>
                </c:pt>
                <c:pt idx="65">
                  <c:v>38.433548416033403</c:v>
                </c:pt>
                <c:pt idx="66">
                  <c:v>38.691133703061602</c:v>
                </c:pt>
                <c:pt idx="67">
                  <c:v>38.942982556611327</c:v>
                </c:pt>
                <c:pt idx="68">
                  <c:v>39.189222727259612</c:v>
                </c:pt>
                <c:pt idx="69">
                  <c:v>39.429979120573606</c:v>
                </c:pt>
                <c:pt idx="70">
                  <c:v>39.66537386046906</c:v>
                </c:pt>
                <c:pt idx="71">
                  <c:v>39.895526351157756</c:v>
                </c:pt>
                <c:pt idx="72">
                  <c:v>40.120553337715492</c:v>
                </c:pt>
                <c:pt idx="73">
                  <c:v>40.340568965301046</c:v>
                </c:pt>
                <c:pt idx="74">
                  <c:v>40.555684837056482</c:v>
                </c:pt>
                <c:pt idx="75">
                  <c:v>40.766010070717932</c:v>
                </c:pt>
                <c:pt idx="76">
                  <c:v>40.971651353965662</c:v>
                </c:pt>
                <c:pt idx="77">
                  <c:v>41.17271299854152</c:v>
                </c:pt>
                <c:pt idx="78">
                  <c:v>41.369296993161171</c:v>
                </c:pt>
                <c:pt idx="79">
                  <c:v>41.561503055247961</c:v>
                </c:pt>
                <c:pt idx="80">
                  <c:v>41.749428681514672</c:v>
                </c:pt>
                <c:pt idx="81">
                  <c:v>41.933169197418849</c:v>
                </c:pt>
                <c:pt idx="82">
                  <c:v>42.112817805516691</c:v>
                </c:pt>
                <c:pt idx="83">
                  <c:v>42.288465632740206</c:v>
                </c:pt>
                <c:pt idx="84">
                  <c:v>42.460201776621354</c:v>
                </c:pt>
                <c:pt idx="85">
                  <c:v>42.62811335048692</c:v>
                </c:pt>
                <c:pt idx="86">
                  <c:v>42.792285527646804</c:v>
                </c:pt>
                <c:pt idx="87">
                  <c:v>42.952801584598269</c:v>
                </c:pt>
                <c:pt idx="88">
                  <c:v>43.109742943268053</c:v>
                </c:pt>
                <c:pt idx="89">
                  <c:v>43.263189212313662</c:v>
                </c:pt>
                <c:pt idx="90">
                  <c:v>43.413218227505006</c:v>
                </c:pt>
                <c:pt idx="91">
                  <c:v>43.559906091206621</c:v>
                </c:pt>
                <c:pt idx="92">
                  <c:v>43.703327210980696</c:v>
                </c:pt>
                <c:pt idx="93">
                  <c:v>43.84355433733036</c:v>
                </c:pt>
                <c:pt idx="94">
                  <c:v>43.980658600602467</c:v>
                </c:pt>
                <c:pt idx="95">
                  <c:v>44.114709547068522</c:v>
                </c:pt>
                <c:pt idx="96">
                  <c:v>44.245775174202087</c:v>
                </c:pt>
                <c:pt idx="97">
                  <c:v>44.373921965170595</c:v>
                </c:pt>
                <c:pt idx="98">
                  <c:v>44.49921492255897</c:v>
                </c:pt>
                <c:pt idx="99">
                  <c:v>44.621717601342255</c:v>
                </c:pt>
                <c:pt idx="100">
                  <c:v>44.741492141123956</c:v>
                </c:pt>
                <c:pt idx="101">
                  <c:v>44.858599297656411</c:v>
                </c:pt>
                <c:pt idx="102">
                  <c:v>44.973098473659185</c:v>
                </c:pt>
                <c:pt idx="103">
                  <c:v>45.085047748951176</c:v>
                </c:pt>
                <c:pt idx="104">
                  <c:v>45.19450390991166</c:v>
                </c:pt>
                <c:pt idx="105">
                  <c:v>45.301522478285221</c:v>
                </c:pt>
                <c:pt idx="106">
                  <c:v>45.40615773934524</c:v>
                </c:pt>
                <c:pt idx="107">
                  <c:v>45.508462769430118</c:v>
                </c:pt>
                <c:pt idx="108">
                  <c:v>45.608489462866331</c:v>
                </c:pt>
                <c:pt idx="109">
                  <c:v>45.706288558291845</c:v>
                </c:pt>
                <c:pt idx="110">
                  <c:v>45.801909664393378</c:v>
                </c:pt>
                <c:pt idx="111">
                  <c:v>45.895401285070413</c:v>
                </c:pt>
                <c:pt idx="112">
                  <c:v>45.986810844038899</c:v>
                </c:pt>
                <c:pt idx="113">
                  <c:v>46.076184708886927</c:v>
                </c:pt>
                <c:pt idx="114">
                  <c:v>46.163568214594768</c:v>
                </c:pt>
                <c:pt idx="115">
                  <c:v>46.249005686531071</c:v>
                </c:pt>
                <c:pt idx="116">
                  <c:v>46.332540462936947</c:v>
                </c:pt>
                <c:pt idx="117">
                  <c:v>46.414214916909344</c:v>
                </c:pt>
                <c:pt idx="118">
                  <c:v>46.494070477894851</c:v>
                </c:pt>
                <c:pt idx="119">
                  <c:v>46.572147652704793</c:v>
                </c:pt>
                <c:pt idx="120">
                  <c:v>46.648486046062381</c:v>
                </c:pt>
                <c:pt idx="121">
                  <c:v>46.723124380692234</c:v>
                </c:pt>
                <c:pt idx="122">
                  <c:v>46.796100516962504</c:v>
                </c:pt>
                <c:pt idx="123">
                  <c:v>46.867451472089634</c:v>
                </c:pt>
                <c:pt idx="124">
                  <c:v>46.937213438915322</c:v>
                </c:pt>
                <c:pt idx="125">
                  <c:v>47.005421804265396</c:v>
                </c:pt>
                <c:pt idx="126">
                  <c:v>47.072111166899823</c:v>
                </c:pt>
                <c:pt idx="127">
                  <c:v>47.13731535506296</c:v>
                </c:pt>
                <c:pt idx="128">
                  <c:v>47.201067443642955</c:v>
                </c:pt>
                <c:pt idx="129">
                  <c:v>47.263399770949043</c:v>
                </c:pt>
                <c:pt idx="130">
                  <c:v>47.324343955115147</c:v>
                </c:pt>
                <c:pt idx="131">
                  <c:v>47.383930910138218</c:v>
                </c:pt>
                <c:pt idx="132">
                  <c:v>47.442190861559425</c:v>
                </c:pt>
                <c:pt idx="133">
                  <c:v>47.499153361796047</c:v>
                </c:pt>
                <c:pt idx="134">
                  <c:v>47.554847305131986</c:v>
                </c:pt>
                <c:pt idx="135">
                  <c:v>47.609300942374404</c:v>
                </c:pt>
                <c:pt idx="136">
                  <c:v>47.662541895184006</c:v>
                </c:pt>
                <c:pt idx="137">
                  <c:v>47.714597170086122</c:v>
                </c:pt>
                <c:pt idx="138">
                  <c:v>47.765493172169805</c:v>
                </c:pt>
                <c:pt idx="139">
                  <c:v>47.815255718481851</c:v>
                </c:pt>
                <c:pt idx="140">
                  <c:v>47.863910051122481</c:v>
                </c:pt>
                <c:pt idx="141">
                  <c:v>47.911480850049472</c:v>
                </c:pt>
                <c:pt idx="142">
                  <c:v>47.957992245597062</c:v>
                </c:pt>
                <c:pt idx="143">
                  <c:v>48.003467830716076</c:v>
                </c:pt>
                <c:pt idx="144">
                  <c:v>48.047930672941511</c:v>
                </c:pt>
                <c:pt idx="145">
                  <c:v>48.091403326093527</c:v>
                </c:pt>
                <c:pt idx="146">
                  <c:v>48.1339078417179</c:v>
                </c:pt>
                <c:pt idx="147">
                  <c:v>48.175465780271715</c:v>
                </c:pt>
                <c:pt idx="148">
                  <c:v>48.216098222059912</c:v>
                </c:pt>
                <c:pt idx="149">
                  <c:v>48.255825777928273</c:v>
                </c:pt>
                <c:pt idx="150">
                  <c:v>48.294668599718349</c:v>
                </c:pt>
                <c:pt idx="151">
                  <c:v>48.332646390489437</c:v>
                </c:pt>
                <c:pt idx="152">
                  <c:v>48.369778414513</c:v>
                </c:pt>
                <c:pt idx="153">
                  <c:v>48.406083507044521</c:v>
                </c:pt>
                <c:pt idx="154">
                  <c:v>48.441580083877646</c:v>
                </c:pt>
                <c:pt idx="155">
                  <c:v>48.476286150685659</c:v>
                </c:pt>
                <c:pt idx="156">
                  <c:v>48.510219312154867</c:v>
                </c:pt>
                <c:pt idx="157">
                  <c:v>48.54339678091457</c:v>
                </c:pt>
                <c:pt idx="158">
                  <c:v>48.575835386268217</c:v>
                </c:pt>
                <c:pt idx="159">
                  <c:v>48.607551582730061</c:v>
                </c:pt>
                <c:pt idx="160">
                  <c:v>48.638561458371747</c:v>
                </c:pt>
                <c:pt idx="161">
                  <c:v>48.668880742983006</c:v>
                </c:pt>
                <c:pt idx="162">
                  <c:v>48.698524816050565</c:v>
                </c:pt>
                <c:pt idx="163">
                  <c:v>48.727508714559455</c:v>
                </c:pt>
                <c:pt idx="164">
                  <c:v>48.755847140620517</c:v>
                </c:pt>
                <c:pt idx="165">
                  <c:v>48.783554468928052</c:v>
                </c:pt>
                <c:pt idx="166">
                  <c:v>48.810644754051424</c:v>
                </c:pt>
                <c:pt idx="167">
                  <c:v>48.837131737564228</c:v>
                </c:pt>
                <c:pt idx="168">
                  <c:v>48.863028855014726</c:v>
                </c:pt>
                <c:pt idx="169">
                  <c:v>48.88834924274105</c:v>
                </c:pt>
                <c:pt idx="170">
                  <c:v>48.913105744534619</c:v>
                </c:pt>
                <c:pt idx="171">
                  <c:v>48.937310918155148</c:v>
                </c:pt>
                <c:pt idx="172">
                  <c:v>48.960977041700609</c:v>
                </c:pt>
                <c:pt idx="173">
                  <c:v>48.984116119835292</c:v>
                </c:pt>
                <c:pt idx="174">
                  <c:v>49.006739889879192</c:v>
                </c:pt>
                <c:pt idx="175">
                  <c:v>49.028859827761771</c:v>
                </c:pt>
                <c:pt idx="176">
                  <c:v>49.050487153843122</c:v>
                </c:pt>
                <c:pt idx="177">
                  <c:v>49.071632838605531</c:v>
                </c:pt>
                <c:pt idx="178">
                  <c:v>49.092307608218263</c:v>
                </c:pt>
                <c:pt idx="179">
                  <c:v>49.112521949978408</c:v>
                </c:pt>
                <c:pt idx="180">
                  <c:v>49.132286117630564</c:v>
                </c:pt>
                <c:pt idx="181">
                  <c:v>49.151610136568081</c:v>
                </c:pt>
                <c:pt idx="182">
                  <c:v>49.170503808918454</c:v>
                </c:pt>
                <c:pt idx="183">
                  <c:v>49.188976718515441</c:v>
                </c:pt>
                <c:pt idx="184">
                  <c:v>49.207038235760486</c:v>
                </c:pt>
                <c:pt idx="185">
                  <c:v>49.224697522375848</c:v>
                </c:pt>
                <c:pt idx="186">
                  <c:v>49.241963536051934</c:v>
                </c:pt>
                <c:pt idx="187">
                  <c:v>49.258845034991033</c:v>
                </c:pt>
                <c:pt idx="188">
                  <c:v>49.275350582349986</c:v>
                </c:pt>
                <c:pt idx="189">
                  <c:v>49.291488550583814</c:v>
                </c:pt>
                <c:pt idx="190">
                  <c:v>49.307267125692675</c:v>
                </c:pt>
                <c:pt idx="191">
                  <c:v>49.322694311374214</c:v>
                </c:pt>
                <c:pt idx="192">
                  <c:v>49.33777793308343</c:v>
                </c:pt>
                <c:pt idx="193">
                  <c:v>49.352525642002178</c:v>
                </c:pt>
                <c:pt idx="194">
                  <c:v>49.366944918920211</c:v>
                </c:pt>
                <c:pt idx="195">
                  <c:v>49.38104307802984</c:v>
                </c:pt>
                <c:pt idx="196">
                  <c:v>49.39482727063605</c:v>
                </c:pt>
                <c:pt idx="197">
                  <c:v>49.408304488784005</c:v>
                </c:pt>
                <c:pt idx="198">
                  <c:v>49.421481568805774</c:v>
                </c:pt>
                <c:pt idx="199">
                  <c:v>49.434365194788086</c:v>
                </c:pt>
                <c:pt idx="200">
                  <c:v>49.446961901962794</c:v>
                </c:pt>
                <c:pt idx="201">
                  <c:v>49.459278080021924</c:v>
                </c:pt>
                <c:pt idx="202">
                  <c:v>49.471319976358835</c:v>
                </c:pt>
                <c:pt idx="203">
                  <c:v>49.483093699237202</c:v>
                </c:pt>
                <c:pt idx="204">
                  <c:v>49.494605220889468</c:v>
                </c:pt>
                <c:pt idx="205">
                  <c:v>49.505860380546224</c:v>
                </c:pt>
                <c:pt idx="206">
                  <c:v>49.516864887398221</c:v>
                </c:pt>
                <c:pt idx="207">
                  <c:v>49.527624323492297</c:v>
                </c:pt>
                <c:pt idx="208">
                  <c:v>49.538144146562928</c:v>
                </c:pt>
                <c:pt idx="209">
                  <c:v>49.548429692800653</c:v>
                </c:pt>
                <c:pt idx="210">
                  <c:v>49.558486179558841</c:v>
                </c:pt>
                <c:pt idx="211">
                  <c:v>49.568318708000227</c:v>
                </c:pt>
                <c:pt idx="212">
                  <c:v>49.577932265684467</c:v>
                </c:pt>
                <c:pt idx="213">
                  <c:v>49.587331729098096</c:v>
                </c:pt>
                <c:pt idx="214">
                  <c:v>49.596521866128114</c:v>
                </c:pt>
                <c:pt idx="215">
                  <c:v>49.6055073384805</c:v>
                </c:pt>
                <c:pt idx="216">
                  <c:v>49.6142927040449</c:v>
                </c:pt>
                <c:pt idx="217">
                  <c:v>49.622882419206562</c:v>
                </c:pt>
                <c:pt idx="218">
                  <c:v>49.631280841106907</c:v>
                </c:pt>
                <c:pt idx="219">
                  <c:v>49.639492229853644</c:v>
                </c:pt>
                <c:pt idx="220">
                  <c:v>49.647520750681736</c:v>
                </c:pt>
                <c:pt idx="221">
                  <c:v>49.655370476066224</c:v>
                </c:pt>
                <c:pt idx="222">
                  <c:v>49.663045387787975</c:v>
                </c:pt>
                <c:pt idx="223">
                  <c:v>49.67054937895346</c:v>
                </c:pt>
                <c:pt idx="224">
                  <c:v>49.677886255969526</c:v>
                </c:pt>
                <c:pt idx="225">
                  <c:v>49.685059740474216</c:v>
                </c:pt>
                <c:pt idx="226">
                  <c:v>49.692073471224546</c:v>
                </c:pt>
                <c:pt idx="227">
                  <c:v>49.698931005942299</c:v>
                </c:pt>
                <c:pt idx="228">
                  <c:v>49.705635823118648</c:v>
                </c:pt>
                <c:pt idx="229">
                  <c:v>49.712191323778669</c:v>
                </c:pt>
                <c:pt idx="230">
                  <c:v>49.71860083320648</c:v>
                </c:pt>
                <c:pt idx="231">
                  <c:v>49.724867602631988</c:v>
                </c:pt>
                <c:pt idx="232">
                  <c:v>49.730994810880112</c:v>
                </c:pt>
                <c:pt idx="233">
                  <c:v>49.736985565983218</c:v>
                </c:pt>
                <c:pt idx="234">
                  <c:v>49.742842906757694</c:v>
                </c:pt>
                <c:pt idx="235">
                  <c:v>49.748569804345365</c:v>
                </c:pt>
                <c:pt idx="236">
                  <c:v>49.754169163720633</c:v>
                </c:pt>
                <c:pt idx="237">
                  <c:v>49.759643825164005</c:v>
                </c:pt>
                <c:pt idx="238">
                  <c:v>49.764996565702859</c:v>
                </c:pt>
                <c:pt idx="239">
                  <c:v>49.770230100520045</c:v>
                </c:pt>
                <c:pt idx="240">
                  <c:v>49.77534708433123</c:v>
                </c:pt>
                <c:pt idx="241">
                  <c:v>49.780350112731448</c:v>
                </c:pt>
                <c:pt idx="242">
                  <c:v>49.785241723511731</c:v>
                </c:pt>
                <c:pt idx="243">
                  <c:v>49.790024397946439</c:v>
                </c:pt>
                <c:pt idx="244">
                  <c:v>49.794700562051851</c:v>
                </c:pt>
                <c:pt idx="245">
                  <c:v>49.799272587816773</c:v>
                </c:pt>
                <c:pt idx="246">
                  <c:v>49.803742794405743</c:v>
                </c:pt>
                <c:pt idx="247">
                  <c:v>49.808113449335423</c:v>
                </c:pt>
                <c:pt idx="248">
                  <c:v>49.812386769624787</c:v>
                </c:pt>
                <c:pt idx="249">
                  <c:v>49.816564922919746</c:v>
                </c:pt>
                <c:pt idx="250">
                  <c:v>49.820650028592624</c:v>
                </c:pt>
                <c:pt idx="251">
                  <c:v>49.824644158817271</c:v>
                </c:pt>
                <c:pt idx="252">
                  <c:v>49.828549339620146</c:v>
                </c:pt>
                <c:pt idx="253">
                  <c:v>49.832367551908035</c:v>
                </c:pt>
                <c:pt idx="254">
                  <c:v>49.836100732472843</c:v>
                </c:pt>
                <c:pt idx="255">
                  <c:v>49.83975077497405</c:v>
                </c:pt>
                <c:pt idx="256">
                  <c:v>49.843319530899301</c:v>
                </c:pt>
                <c:pt idx="257">
                  <c:v>49.846808810503504</c:v>
                </c:pt>
                <c:pt idx="258">
                  <c:v>49.850220383727169</c:v>
                </c:pt>
                <c:pt idx="259">
                  <c:v>49.853555981094132</c:v>
                </c:pt>
                <c:pt idx="260">
                  <c:v>49.856817294589426</c:v>
                </c:pt>
                <c:pt idx="261">
                  <c:v>49.860005978517499</c:v>
                </c:pt>
                <c:pt idx="262">
                  <c:v>49.8631236503414</c:v>
                </c:pt>
                <c:pt idx="263">
                  <c:v>49.866171891503193</c:v>
                </c:pt>
                <c:pt idx="264">
                  <c:v>49.8691522482262</c:v>
                </c:pt>
                <c:pt idx="265">
                  <c:v>49.872066232299275</c:v>
                </c:pt>
                <c:pt idx="266">
                  <c:v>49.87491532184368</c:v>
                </c:pt>
                <c:pt idx="267">
                  <c:v>49.877700962062889</c:v>
                </c:pt>
                <c:pt idx="268">
                  <c:v>49.880424565975602</c:v>
                </c:pt>
                <c:pt idx="269">
                  <c:v>49.883087515132573</c:v>
                </c:pt>
                <c:pt idx="270">
                  <c:v>49.885691160317371</c:v>
                </c:pt>
                <c:pt idx="271">
                  <c:v>49.888236822231548</c:v>
                </c:pt>
                <c:pt idx="272">
                  <c:v>49.890725792164609</c:v>
                </c:pt>
                <c:pt idx="273">
                  <c:v>49.893159332648978</c:v>
                </c:pt>
                <c:pt idx="274">
                  <c:v>49.895538678100444</c:v>
                </c:pt>
                <c:pt idx="275">
                  <c:v>49.897865035444312</c:v>
                </c:pt>
                <c:pt idx="276">
                  <c:v>49.900139584727619</c:v>
                </c:pt>
                <c:pt idx="277">
                  <c:v>49.902363479717707</c:v>
                </c:pt>
                <c:pt idx="278">
                  <c:v>49.904537848487486</c:v>
                </c:pt>
                <c:pt idx="279">
                  <c:v>49.90666379398764</c:v>
                </c:pt>
                <c:pt idx="280">
                  <c:v>49.908742394606101</c:v>
                </c:pt>
                <c:pt idx="281">
                  <c:v>49.91077470471506</c:v>
                </c:pt>
                <c:pt idx="282">
                  <c:v>49.912761755205807</c:v>
                </c:pt>
                <c:pt idx="283">
                  <c:v>49.914704554011649</c:v>
                </c:pt>
                <c:pt idx="284">
                  <c:v>49.916604086619174</c:v>
                </c:pt>
                <c:pt idx="285">
                  <c:v>49.918461316568155</c:v>
                </c:pt>
                <c:pt idx="286">
                  <c:v>49.9202771859403</c:v>
                </c:pt>
                <c:pt idx="287">
                  <c:v>49.922052615837117</c:v>
                </c:pt>
                <c:pt idx="288">
                  <c:v>49.92378850684716</c:v>
                </c:pt>
                <c:pt idx="289">
                  <c:v>49.92548573950284</c:v>
                </c:pt>
                <c:pt idx="290">
                  <c:v>49.927145174727073</c:v>
                </c:pt>
                <c:pt idx="291">
                  <c:v>49.928767654270011</c:v>
                </c:pt>
                <c:pt idx="292">
                  <c:v>49.930354001135974</c:v>
                </c:pt>
                <c:pt idx="293">
                  <c:v>49.931905020000961</c:v>
                </c:pt>
                <c:pt idx="294">
                  <c:v>49.933421497620813</c:v>
                </c:pt>
                <c:pt idx="295">
                  <c:v>49.934904203230289</c:v>
                </c:pt>
                <c:pt idx="296">
                  <c:v>49.936353888933247</c:v>
                </c:pt>
                <c:pt idx="297">
                  <c:v>49.937771290084186</c:v>
                </c:pt>
                <c:pt idx="298">
                  <c:v>49.939157125661211</c:v>
                </c:pt>
                <c:pt idx="299">
                  <c:v>49.940512098630791</c:v>
                </c:pt>
                <c:pt idx="300">
                  <c:v>49.941836896304274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B3-4B53-A0CC-0EB12EA580A8}"/>
            </c:ext>
          </c:extLst>
        </c:ser>
        <c:ser>
          <c:idx val="1"/>
          <c:order val="1"/>
          <c:tx>
            <c:strRef>
              <c:f>Sheet1!$AE$1</c:f>
              <c:strCache>
                <c:ptCount val="1"/>
                <c:pt idx="0">
                  <c:v>PID  p(t) [deg/s]</c:v>
                </c:pt>
              </c:strCache>
            </c:strRef>
          </c:tx>
          <c:spPr>
            <a:ln w="25400" cap="rnd">
              <a:solidFill>
                <a:schemeClr val="bg2">
                  <a:lumMod val="9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90000"/>
                </a:schemeClr>
              </a:solidFill>
              <a:ln w="9525">
                <a:solidFill>
                  <a:schemeClr val="bg2">
                    <a:lumMod val="90000"/>
                  </a:schemeClr>
                </a:solidFill>
              </a:ln>
              <a:effectLst/>
            </c:spPr>
          </c:marker>
          <c:xVal>
            <c:numRef>
              <c:f>Sheet1!$D$2:$D$302</c:f>
              <c:numCache>
                <c:formatCode>General</c:formatCode>
                <c:ptCount val="3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</c:numCache>
            </c:numRef>
          </c:xVal>
          <c:yVal>
            <c:numRef>
              <c:f>Sheet1!$AE$2:$AE$302</c:f>
              <c:numCache>
                <c:formatCode>0.00000000</c:formatCode>
                <c:ptCount val="301"/>
                <c:pt idx="0" formatCode="General">
                  <c:v>0</c:v>
                </c:pt>
                <c:pt idx="1">
                  <c:v>3.9663153939347873</c:v>
                </c:pt>
                <c:pt idx="2" formatCode="General">
                  <c:v>7.8443008033644475</c:v>
                </c:pt>
                <c:pt idx="3" formatCode="General">
                  <c:v>11.635923340176911</c:v>
                </c:pt>
                <c:pt idx="4" formatCode="General">
                  <c:v>15.343106308608586</c:v>
                </c:pt>
                <c:pt idx="5" formatCode="General">
                  <c:v>18.967730180842324</c:v>
                </c:pt>
                <c:pt idx="6" formatCode="General">
                  <c:v>22.511633550878752</c:v>
                </c:pt>
                <c:pt idx="7" formatCode="General">
                  <c:v>25.976614067164906</c:v>
                </c:pt>
                <c:pt idx="8" formatCode="General">
                  <c:v>29.364429344453143</c:v>
                </c:pt>
                <c:pt idx="9" formatCode="General">
                  <c:v>32.67679785535293</c:v>
                </c:pt>
                <c:pt idx="10" formatCode="General">
                  <c:v>35.915399802027778</c:v>
                </c:pt>
                <c:pt idx="11" formatCode="General">
                  <c:v>39.081877968479425</c:v>
                </c:pt>
                <c:pt idx="12" formatCode="General">
                  <c:v>42.177838553851622</c:v>
                </c:pt>
                <c:pt idx="13" formatCode="General">
                  <c:v>44.999545034307225</c:v>
                </c:pt>
                <c:pt idx="14" formatCode="General">
                  <c:v>46.761063223826227</c:v>
                </c:pt>
                <c:pt idx="15" formatCode="General">
                  <c:v>47.943165365982203</c:v>
                </c:pt>
                <c:pt idx="16" formatCode="General">
                  <c:v>48.723828314026655</c:v>
                </c:pt>
                <c:pt idx="17" formatCode="General">
                  <c:v>49.240810069557831</c:v>
                </c:pt>
                <c:pt idx="18" formatCode="General">
                  <c:v>49.582656284914314</c:v>
                </c:pt>
                <c:pt idx="19" formatCode="General">
                  <c:v>49.808456452831663</c:v>
                </c:pt>
                <c:pt idx="20" formatCode="General">
                  <c:v>49.957327703030728</c:v>
                </c:pt>
                <c:pt idx="21" formatCode="General">
                  <c:v>50.05520947117504</c:v>
                </c:pt>
                <c:pt idx="22" formatCode="General">
                  <c:v>50.119296557370532</c:v>
                </c:pt>
                <c:pt idx="23" formatCode="General">
                  <c:v>50.160987939796136</c:v>
                </c:pt>
                <c:pt idx="24" formatCode="General">
                  <c:v>50.187840215964037</c:v>
                </c:pt>
                <c:pt idx="25" formatCode="General">
                  <c:v>50.20486278979547</c:v>
                </c:pt>
                <c:pt idx="26" formatCode="General">
                  <c:v>50.215376458575861</c:v>
                </c:pt>
                <c:pt idx="27" formatCode="General">
                  <c:v>50.221582597497147</c:v>
                </c:pt>
                <c:pt idx="28" formatCode="General">
                  <c:v>50.224940487017761</c:v>
                </c:pt>
                <c:pt idx="29" formatCode="General">
                  <c:v>50.226417453503416</c:v>
                </c:pt>
                <c:pt idx="30" formatCode="General">
                  <c:v>50.226654694244282</c:v>
                </c:pt>
                <c:pt idx="31" formatCode="General">
                  <c:v>50.226077207364511</c:v>
                </c:pt>
                <c:pt idx="32" formatCode="General">
                  <c:v>50.224966667342592</c:v>
                </c:pt>
                <c:pt idx="33" formatCode="General">
                  <c:v>50.223509736169831</c:v>
                </c:pt>
                <c:pt idx="34" formatCode="General">
                  <c:v>50.221830090124961</c:v>
                </c:pt>
                <c:pt idx="35" formatCode="General">
                  <c:v>50.220009651188022</c:v>
                </c:pt>
                <c:pt idx="36" formatCode="General">
                  <c:v>50.218102661915886</c:v>
                </c:pt>
                <c:pt idx="37" formatCode="General">
                  <c:v>50.216145016053979</c:v>
                </c:pt>
                <c:pt idx="38" formatCode="General">
                  <c:v>50.214160444046577</c:v>
                </c:pt>
                <c:pt idx="39" formatCode="General">
                  <c:v>50.212164613573727</c:v>
                </c:pt>
                <c:pt idx="40" formatCode="General">
                  <c:v>50.210167847902866</c:v>
                </c:pt>
                <c:pt idx="41" formatCode="General">
                  <c:v>50.208176927952138</c:v>
                </c:pt>
                <c:pt idx="42" formatCode="General">
                  <c:v>50.206196286921305</c:v>
                </c:pt>
                <c:pt idx="43" formatCode="General">
                  <c:v>50.204228802239371</c:v>
                </c:pt>
                <c:pt idx="44" formatCode="General">
                  <c:v>50.202276320562426</c:v>
                </c:pt>
                <c:pt idx="45" formatCode="General">
                  <c:v>50.200340005803398</c:v>
                </c:pt>
                <c:pt idx="46" formatCode="General">
                  <c:v>50.198420569844778</c:v>
                </c:pt>
                <c:pt idx="47" formatCode="General">
                  <c:v>50.196518425478843</c:v>
                </c:pt>
                <c:pt idx="48" formatCode="General">
                  <c:v>50.194633787790366</c:v>
                </c:pt>
                <c:pt idx="49" formatCode="General">
                  <c:v>50.19276674136055</c:v>
                </c:pt>
                <c:pt idx="50" formatCode="General">
                  <c:v>50.190917284812926</c:v>
                </c:pt>
                <c:pt idx="51" formatCode="General">
                  <c:v>50.189085360338723</c:v>
                </c:pt>
                <c:pt idx="52" formatCode="General">
                  <c:v>50.187270873264708</c:v>
                </c:pt>
                <c:pt idx="53" formatCode="General">
                  <c:v>50.185473705020044</c:v>
                </c:pt>
                <c:pt idx="54" formatCode="General">
                  <c:v>50.183693721727145</c:v>
                </c:pt>
                <c:pt idx="55" formatCode="General">
                  <c:v>50.181930779891673</c:v>
                </c:pt>
                <c:pt idx="56" formatCode="General">
                  <c:v>50.180184730169472</c:v>
                </c:pt>
                <c:pt idx="57" formatCode="General">
                  <c:v>50.178455419858778</c:v>
                </c:pt>
                <c:pt idx="58" formatCode="General">
                  <c:v>50.176742694547308</c:v>
                </c:pt>
                <c:pt idx="59" formatCode="General">
                  <c:v>50.175046399199282</c:v>
                </c:pt>
                <c:pt idx="60" formatCode="General">
                  <c:v>50.17336637887108</c:v>
                </c:pt>
                <c:pt idx="61" formatCode="General">
                  <c:v>50.171702479180887</c:v>
                </c:pt>
                <c:pt idx="62" formatCode="General">
                  <c:v>50.170054546615162</c:v>
                </c:pt>
                <c:pt idx="63" formatCode="General">
                  <c:v>50.168422428727077</c:v>
                </c:pt>
                <c:pt idx="64" formatCode="General">
                  <c:v>50.166805974263362</c:v>
                </c:pt>
                <c:pt idx="65" formatCode="General">
                  <c:v>50.165205033243701</c:v>
                </c:pt>
                <c:pt idx="66" formatCode="General">
                  <c:v>50.163619457008778</c:v>
                </c:pt>
                <c:pt idx="67" formatCode="General">
                  <c:v>50.162049098247486</c:v>
                </c:pt>
                <c:pt idx="68" formatCode="General">
                  <c:v>50.160493811010525</c:v>
                </c:pt>
                <c:pt idx="69" formatCode="General">
                  <c:v>50.158953450714826</c:v>
                </c:pt>
                <c:pt idx="70" formatCode="General">
                  <c:v>50.157427874142094</c:v>
                </c:pt>
                <c:pt idx="71" formatCode="General">
                  <c:v>50.155916939433439</c:v>
                </c:pt>
                <c:pt idx="72" formatCode="General">
                  <c:v>50.154420506081401</c:v>
                </c:pt>
                <c:pt idx="73" formatCode="General">
                  <c:v>50.152938434920408</c:v>
                </c:pt>
                <c:pt idx="74" formatCode="General">
                  <c:v>50.151470588116119</c:v>
                </c:pt>
                <c:pt idx="75" formatCode="General">
                  <c:v>50.150016829154168</c:v>
                </c:pt>
                <c:pt idx="76" formatCode="General">
                  <c:v>50.148577022828434</c:v>
                </c:pt>
                <c:pt idx="77" formatCode="General">
                  <c:v>50.147151035229179</c:v>
                </c:pt>
                <c:pt idx="78" formatCode="General">
                  <c:v>50.145738733731029</c:v>
                </c:pt>
                <c:pt idx="79" formatCode="General">
                  <c:v>50.144339986980945</c:v>
                </c:pt>
                <c:pt idx="80" formatCode="General">
                  <c:v>50.142954664886162</c:v>
                </c:pt>
                <c:pt idx="81" formatCode="General">
                  <c:v>50.14158263860228</c:v>
                </c:pt>
                <c:pt idx="82" formatCode="General">
                  <c:v>50.14022378052131</c:v>
                </c:pt>
                <c:pt idx="83" formatCode="General">
                  <c:v>50.138877964259905</c:v>
                </c:pt>
                <c:pt idx="84" formatCode="General">
                  <c:v>50.137545064647625</c:v>
                </c:pt>
                <c:pt idx="85" formatCode="General">
                  <c:v>50.136224957715299</c:v>
                </c:pt>
                <c:pt idx="86" formatCode="General">
                  <c:v>50.13491752068358</c:v>
                </c:pt>
                <c:pt idx="87" formatCode="General">
                  <c:v>50.133622631951447</c:v>
                </c:pt>
                <c:pt idx="88" formatCode="General">
                  <c:v>50.132340171084969</c:v>
                </c:pt>
                <c:pt idx="89" formatCode="General">
                  <c:v>50.131070018806085</c:v>
                </c:pt>
                <c:pt idx="90" formatCode="General">
                  <c:v>50.1298120569815</c:v>
                </c:pt>
                <c:pt idx="91" formatCode="General">
                  <c:v>50.128566168611741</c:v>
                </c:pt>
                <c:pt idx="92" formatCode="General">
                  <c:v>50.12733223782022</c:v>
                </c:pt>
                <c:pt idx="93" formatCode="General">
                  <c:v>50.126110149842511</c:v>
                </c:pt>
                <c:pt idx="94" formatCode="General">
                  <c:v>50.124899791015658</c:v>
                </c:pt>
                <c:pt idx="95" formatCode="General">
                  <c:v>50.123701048767565</c:v>
                </c:pt>
                <c:pt idx="96" formatCode="General">
                  <c:v>50.122513811606595</c:v>
                </c:pt>
                <c:pt idx="97" formatCode="General">
                  <c:v>50.12133796911116</c:v>
                </c:pt>
                <c:pt idx="98" formatCode="General">
                  <c:v>50.120173411919431</c:v>
                </c:pt>
                <c:pt idx="99" formatCode="General">
                  <c:v>50.119020031719245</c:v>
                </c:pt>
                <c:pt idx="100" formatCode="General">
                  <c:v>50.117877721237925</c:v>
                </c:pt>
                <c:pt idx="101" formatCode="General">
                  <c:v>50.116746374232392</c:v>
                </c:pt>
                <c:pt idx="102" formatCode="General">
                  <c:v>50.11562588547924</c:v>
                </c:pt>
                <c:pt idx="103" formatCode="General">
                  <c:v>50.114516150764949</c:v>
                </c:pt>
                <c:pt idx="104" formatCode="General">
                  <c:v>50.11341706687621</c:v>
                </c:pt>
                <c:pt idx="105" formatCode="General">
                  <c:v>50.112328531590336</c:v>
                </c:pt>
                <c:pt idx="106" formatCode="General">
                  <c:v>50.111250443665696</c:v>
                </c:pt>
                <c:pt idx="107" formatCode="General">
                  <c:v>50.110182702832368</c:v>
                </c:pt>
                <c:pt idx="108" formatCode="General">
                  <c:v>50.109125209782775</c:v>
                </c:pt>
                <c:pt idx="109" formatCode="General">
                  <c:v>50.108077866162461</c:v>
                </c:pt>
                <c:pt idx="110" formatCode="General">
                  <c:v>50.107040574560934</c:v>
                </c:pt>
                <c:pt idx="111" formatCode="General">
                  <c:v>50.106013238502612</c:v>
                </c:pt>
                <c:pt idx="112" formatCode="General">
                  <c:v>50.104995762437859</c:v>
                </c:pt>
                <c:pt idx="113" formatCode="General">
                  <c:v>50.103988051734085</c:v>
                </c:pt>
                <c:pt idx="114" formatCode="General">
                  <c:v>50.10299001266695</c:v>
                </c:pt>
                <c:pt idx="115" formatCode="General">
                  <c:v>50.102001552411636</c:v>
                </c:pt>
                <c:pt idx="116" formatCode="General">
                  <c:v>50.101022579034236</c:v>
                </c:pt>
                <c:pt idx="117" formatCode="General">
                  <c:v>50.100053001483182</c:v>
                </c:pt>
                <c:pt idx="118" formatCode="General">
                  <c:v>50.099092729580789</c:v>
                </c:pt>
                <c:pt idx="119" formatCode="General">
                  <c:v>50.098141674014869</c:v>
                </c:pt>
                <c:pt idx="120" formatCode="General">
                  <c:v>50.097199746330411</c:v>
                </c:pt>
                <c:pt idx="121" formatCode="General">
                  <c:v>50.096266858921368</c:v>
                </c:pt>
                <c:pt idx="122" formatCode="General">
                  <c:v>50.0953429250225</c:v>
                </c:pt>
                <c:pt idx="123" formatCode="General">
                  <c:v>50.094427858701316</c:v>
                </c:pt>
                <c:pt idx="124" formatCode="General">
                  <c:v>50.093521574850058</c:v>
                </c:pt>
                <c:pt idx="125" formatCode="General">
                  <c:v>50.092623989177824</c:v>
                </c:pt>
                <c:pt idx="126" formatCode="General">
                  <c:v>50.091735018202684</c:v>
                </c:pt>
                <c:pt idx="127" formatCode="General">
                  <c:v>50.090854579243938</c:v>
                </c:pt>
                <c:pt idx="128" formatCode="General">
                  <c:v>50.089982590414429</c:v>
                </c:pt>
                <c:pt idx="129" formatCode="General">
                  <c:v>50.089118970612944</c:v>
                </c:pt>
                <c:pt idx="130" formatCode="General">
                  <c:v>50.088263639516612</c:v>
                </c:pt>
                <c:pt idx="131" formatCode="General">
                  <c:v>50.087416517573502</c:v>
                </c:pt>
                <c:pt idx="132" formatCode="General">
                  <c:v>50.086577525995175</c:v>
                </c:pt>
                <c:pt idx="133" formatCode="General">
                  <c:v>50.08574658674938</c:v>
                </c:pt>
                <c:pt idx="134" formatCode="General">
                  <c:v>50.0849236225528</c:v>
                </c:pt>
                <c:pt idx="135" formatCode="General">
                  <c:v>50.084108556863839</c:v>
                </c:pt>
                <c:pt idx="136" formatCode="General">
                  <c:v>50.083301313875531</c:v>
                </c:pt>
                <c:pt idx="137" formatCode="General">
                  <c:v>50.082501818508462</c:v>
                </c:pt>
                <c:pt idx="138" formatCode="General">
                  <c:v>50.081709996403823</c:v>
                </c:pt>
                <c:pt idx="139" formatCode="General">
                  <c:v>50.080925773916462</c:v>
                </c:pt>
                <c:pt idx="140" formatCode="General">
                  <c:v>50.08014907810805</c:v>
                </c:pt>
                <c:pt idx="141" formatCode="General">
                  <c:v>50.079379836740287</c:v>
                </c:pt>
                <c:pt idx="142" formatCode="General">
                  <c:v>50.078617978268191</c:v>
                </c:pt>
                <c:pt idx="143" formatCode="General">
                  <c:v>50.077863431833457</c:v>
                </c:pt>
                <c:pt idx="144" formatCode="General">
                  <c:v>50.077116127257831</c:v>
                </c:pt>
                <c:pt idx="145" formatCode="General">
                  <c:v>50.076375995036621</c:v>
                </c:pt>
                <c:pt idx="146" formatCode="General">
                  <c:v>50.075642966332204</c:v>
                </c:pt>
                <c:pt idx="147" formatCode="General">
                  <c:v>50.074916972967628</c:v>
                </c:pt>
                <c:pt idx="148" formatCode="General">
                  <c:v>50.074197947420302</c:v>
                </c:pt>
                <c:pt idx="149" formatCode="General">
                  <c:v>50.073485822815677</c:v>
                </c:pt>
                <c:pt idx="150" formatCode="General">
                  <c:v>50.072780532921044</c:v>
                </c:pt>
                <c:pt idx="151" formatCode="General">
                  <c:v>50.072082012139369</c:v>
                </c:pt>
                <c:pt idx="152" formatCode="General">
                  <c:v>50.071390195503191</c:v>
                </c:pt>
                <c:pt idx="153" formatCode="General">
                  <c:v>50.070705018668598</c:v>
                </c:pt>
                <c:pt idx="154" formatCode="General">
                  <c:v>50.070026417909212</c:v>
                </c:pt>
                <c:pt idx="155" formatCode="General">
                  <c:v>50.069354330110279</c:v>
                </c:pt>
                <c:pt idx="156" formatCode="General">
                  <c:v>50.068688692762805</c:v>
                </c:pt>
                <c:pt idx="157" formatCode="General">
                  <c:v>50.068029443957727</c:v>
                </c:pt>
                <c:pt idx="158" formatCode="General">
                  <c:v>50.067376522380165</c:v>
                </c:pt>
                <c:pt idx="159" formatCode="General">
                  <c:v>50.066729867303728</c:v>
                </c:pt>
                <c:pt idx="160" formatCode="General">
                  <c:v>50.066089418584824</c:v>
                </c:pt>
                <c:pt idx="161" formatCode="General">
                  <c:v>50.065455116657134</c:v>
                </c:pt>
                <c:pt idx="162" formatCode="General">
                  <c:v>50.064826902526008</c:v>
                </c:pt>
                <c:pt idx="163" formatCode="General">
                  <c:v>50.064204717763012</c:v>
                </c:pt>
                <c:pt idx="164" formatCode="General">
                  <c:v>50.063588504500494</c:v>
                </c:pt>
                <c:pt idx="165" formatCode="General">
                  <c:v>50.062978205426184</c:v>
                </c:pt>
                <c:pt idx="166" formatCode="General">
                  <c:v>50.062373763777885</c:v>
                </c:pt>
                <c:pt idx="167" formatCode="General">
                  <c:v>50.061775123338172</c:v>
                </c:pt>
                <c:pt idx="168" formatCode="General">
                  <c:v>50.061182228429189</c:v>
                </c:pt>
                <c:pt idx="169" formatCode="General">
                  <c:v>50.060595023907432</c:v>
                </c:pt>
                <c:pt idx="170" formatCode="General">
                  <c:v>50.060013455158661</c:v>
                </c:pt>
                <c:pt idx="171" formatCode="General">
                  <c:v>50.05943746809281</c:v>
                </c:pt>
                <c:pt idx="172" formatCode="General">
                  <c:v>50.058867009138922</c:v>
                </c:pt>
                <c:pt idx="173" formatCode="General">
                  <c:v>50.058302025240231</c:v>
                </c:pt>
                <c:pt idx="174" formatCode="General">
                  <c:v>50.057742463849159</c:v>
                </c:pt>
                <c:pt idx="175" formatCode="General">
                  <c:v>50.057188272922488</c:v>
                </c:pt>
                <c:pt idx="176" formatCode="General">
                  <c:v>50.056639400916453</c:v>
                </c:pt>
                <c:pt idx="177" formatCode="General">
                  <c:v>50.056095796782017</c:v>
                </c:pt>
                <c:pt idx="178" formatCode="General">
                  <c:v>50.055557409960102</c:v>
                </c:pt>
                <c:pt idx="179" formatCode="General">
                  <c:v>50.055024190376848</c:v>
                </c:pt>
                <c:pt idx="180" formatCode="General">
                  <c:v>50.054496088439002</c:v>
                </c:pt>
                <c:pt idx="181" formatCode="General">
                  <c:v>50.053973055029282</c:v>
                </c:pt>
                <c:pt idx="182" formatCode="General">
                  <c:v>50.053455041501834</c:v>
                </c:pt>
                <c:pt idx="183" formatCode="General">
                  <c:v>50.05294199967765</c:v>
                </c:pt>
                <c:pt idx="184" formatCode="General">
                  <c:v>50.05243388184018</c:v>
                </c:pt>
                <c:pt idx="185" formatCode="General">
                  <c:v>50.051930640730781</c:v>
                </c:pt>
                <c:pt idx="186" formatCode="General">
                  <c:v>50.051432229544432</c:v>
                </c:pt>
                <c:pt idx="187" formatCode="General">
                  <c:v>50.05093860192531</c:v>
                </c:pt>
                <c:pt idx="188" formatCode="General">
                  <c:v>50.050449711962479</c:v>
                </c:pt>
                <c:pt idx="189" formatCode="General">
                  <c:v>50.049965514185672</c:v>
                </c:pt>
                <c:pt idx="190" formatCode="General">
                  <c:v>50.049485963561004</c:v>
                </c:pt>
                <c:pt idx="191" formatCode="General">
                  <c:v>50.049011015486819</c:v>
                </c:pt>
                <c:pt idx="192" formatCode="General">
                  <c:v>50.048540625789542</c:v>
                </c:pt>
                <c:pt idx="193" formatCode="General">
                  <c:v>50.048074750719536</c:v>
                </c:pt>
                <c:pt idx="194" formatCode="General">
                  <c:v>50.047613346947074</c:v>
                </c:pt>
                <c:pt idx="195" formatCode="General">
                  <c:v>50.047156371558287</c:v>
                </c:pt>
                <c:pt idx="196" formatCode="General">
                  <c:v>50.046703782051182</c:v>
                </c:pt>
                <c:pt idx="197" formatCode="General">
                  <c:v>50.046255536331664</c:v>
                </c:pt>
                <c:pt idx="198" formatCode="General">
                  <c:v>50.045811592709676</c:v>
                </c:pt>
                <c:pt idx="199" formatCode="General">
                  <c:v>50.045371909895259</c:v>
                </c:pt>
                <c:pt idx="200" formatCode="General">
                  <c:v>50.044936446994754</c:v>
                </c:pt>
                <c:pt idx="201" formatCode="General">
                  <c:v>50.044505163506976</c:v>
                </c:pt>
                <c:pt idx="202" formatCode="General">
                  <c:v>50.044078019319464</c:v>
                </c:pt>
                <c:pt idx="203" formatCode="General">
                  <c:v>50.043654974704729</c:v>
                </c:pt>
                <c:pt idx="204" formatCode="General">
                  <c:v>50.043235990316589</c:v>
                </c:pt>
                <c:pt idx="205" formatCode="General">
                  <c:v>50.04282102718647</c:v>
                </c:pt>
                <c:pt idx="206" formatCode="General">
                  <c:v>50.042410046719823</c:v>
                </c:pt>
                <c:pt idx="207" formatCode="General">
                  <c:v>50.042003010692511</c:v>
                </c:pt>
                <c:pt idx="208" formatCode="General">
                  <c:v>50.041599881247265</c:v>
                </c:pt>
                <c:pt idx="209" formatCode="General">
                  <c:v>50.04120062089013</c:v>
                </c:pt>
                <c:pt idx="210" formatCode="General">
                  <c:v>50.040805192487028</c:v>
                </c:pt>
                <c:pt idx="211" formatCode="General">
                  <c:v>50.04041355926028</c:v>
                </c:pt>
                <c:pt idx="212" formatCode="General">
                  <c:v>50.040025684785164</c:v>
                </c:pt>
                <c:pt idx="213" formatCode="General">
                  <c:v>50.039641532986586</c:v>
                </c:pt>
                <c:pt idx="214" formatCode="General">
                  <c:v>50.039261068135659</c:v>
                </c:pt>
                <c:pt idx="215" formatCode="General">
                  <c:v>50.038884254846401</c:v>
                </c:pt>
                <c:pt idx="216" formatCode="General">
                  <c:v>50.03851105807248</c:v>
                </c:pt>
                <c:pt idx="217" formatCode="General">
                  <c:v>50.03814144310391</c:v>
                </c:pt>
                <c:pt idx="218" formatCode="General">
                  <c:v>50.037775375563847</c:v>
                </c:pt>
                <c:pt idx="219" formatCode="General">
                  <c:v>50.037412821405361</c:v>
                </c:pt>
                <c:pt idx="220" formatCode="General">
                  <c:v>50.037053746908327</c:v>
                </c:pt>
                <c:pt idx="221" formatCode="General">
                  <c:v>50.03669811867622</c:v>
                </c:pt>
                <c:pt idx="222" formatCode="General">
                  <c:v>50.036345903633062</c:v>
                </c:pt>
                <c:pt idx="223" formatCode="General">
                  <c:v>50.035997069020326</c:v>
                </c:pt>
                <c:pt idx="224" formatCode="General">
                  <c:v>50.035651582393875</c:v>
                </c:pt>
                <c:pt idx="225" formatCode="General">
                  <c:v>50.035309411620972</c:v>
                </c:pt>
                <c:pt idx="226" formatCode="General">
                  <c:v>50.034970524877274</c:v>
                </c:pt>
                <c:pt idx="227" formatCode="General">
                  <c:v>50.034634890643886</c:v>
                </c:pt>
                <c:pt idx="228" formatCode="General">
                  <c:v>50.034302477704394</c:v>
                </c:pt>
                <c:pt idx="229" formatCode="General">
                  <c:v>50.033973255142016</c:v>
                </c:pt>
                <c:pt idx="230" formatCode="General">
                  <c:v>50.03364719233668</c:v>
                </c:pt>
                <c:pt idx="231" formatCode="General">
                  <c:v>50.03332425896221</c:v>
                </c:pt>
                <c:pt idx="232" formatCode="General">
                  <c:v>50.033004424983474</c:v>
                </c:pt>
                <c:pt idx="233" formatCode="General">
                  <c:v>50.0326876606536</c:v>
                </c:pt>
                <c:pt idx="234" formatCode="General">
                  <c:v>50.032373936511249</c:v>
                </c:pt>
                <c:pt idx="235" formatCode="General">
                  <c:v>50.032063223377797</c:v>
                </c:pt>
                <c:pt idx="236" formatCode="General">
                  <c:v>50.031755492354712</c:v>
                </c:pt>
                <c:pt idx="237" formatCode="General">
                  <c:v>50.031450714820771</c:v>
                </c:pt>
                <c:pt idx="238" formatCode="General">
                  <c:v>50.03114886242949</c:v>
                </c:pt>
                <c:pt idx="239" formatCode="General">
                  <c:v>50.030849907106422</c:v>
                </c:pt>
                <c:pt idx="240" formatCode="General">
                  <c:v>50.030553821046567</c:v>
                </c:pt>
                <c:pt idx="241" formatCode="General">
                  <c:v>50.030260576711797</c:v>
                </c:pt>
                <c:pt idx="242" formatCode="General">
                  <c:v>50.029970146828276</c:v>
                </c:pt>
                <c:pt idx="243" formatCode="General">
                  <c:v>50.029682504383949</c:v>
                </c:pt>
                <c:pt idx="244" formatCode="General">
                  <c:v>50.029397622625979</c:v>
                </c:pt>
                <c:pt idx="245" formatCode="General">
                  <c:v>50.029115475058326</c:v>
                </c:pt>
                <c:pt idx="246" formatCode="General">
                  <c:v>50.028836035439234</c:v>
                </c:pt>
                <c:pt idx="247" formatCode="General">
                  <c:v>50.028559277778811</c:v>
                </c:pt>
                <c:pt idx="248" formatCode="General">
                  <c:v>50.02828517633661</c:v>
                </c:pt>
                <c:pt idx="249" formatCode="General">
                  <c:v>50.028013705619216</c:v>
                </c:pt>
                <c:pt idx="250" formatCode="General">
                  <c:v>50.027744840377899</c:v>
                </c:pt>
                <c:pt idx="251" formatCode="General">
                  <c:v>50.027478555606265</c:v>
                </c:pt>
                <c:pt idx="252" formatCode="General">
                  <c:v>50.027214826537914</c:v>
                </c:pt>
                <c:pt idx="253" formatCode="General">
                  <c:v>50.026953628644144</c:v>
                </c:pt>
                <c:pt idx="254" formatCode="General">
                  <c:v>50.026694937631675</c:v>
                </c:pt>
                <c:pt idx="255" formatCode="General">
                  <c:v>50.026438729440372</c:v>
                </c:pt>
                <c:pt idx="256" formatCode="General">
                  <c:v>50.026184980241048</c:v>
                </c:pt>
                <c:pt idx="257" formatCode="General">
                  <c:v>50.02593366643319</c:v>
                </c:pt>
                <c:pt idx="258" formatCode="General">
                  <c:v>50.025684764642818</c:v>
                </c:pt>
                <c:pt idx="259" formatCode="General">
                  <c:v>50.02543825172026</c:v>
                </c:pt>
                <c:pt idx="260" formatCode="General">
                  <c:v>50.025194104738056</c:v>
                </c:pt>
                <c:pt idx="261" formatCode="General">
                  <c:v>50.024952300988772</c:v>
                </c:pt>
                <c:pt idx="262" formatCode="General">
                  <c:v>50.024712817982923</c:v>
                </c:pt>
                <c:pt idx="263" formatCode="General">
                  <c:v>50.024475633446862</c:v>
                </c:pt>
                <c:pt idx="264" formatCode="General">
                  <c:v>50.02424072532073</c:v>
                </c:pt>
                <c:pt idx="265" formatCode="General">
                  <c:v>50.024008071756384</c:v>
                </c:pt>
                <c:pt idx="266" formatCode="General">
                  <c:v>50.023777651115353</c:v>
                </c:pt>
                <c:pt idx="267" formatCode="General">
                  <c:v>50.023549441966885</c:v>
                </c:pt>
                <c:pt idx="268" formatCode="General">
                  <c:v>50.023323423085863</c:v>
                </c:pt>
                <c:pt idx="269" formatCode="General">
                  <c:v>50.023099573450921</c:v>
                </c:pt>
                <c:pt idx="270" formatCode="General">
                  <c:v>50.022877872242432</c:v>
                </c:pt>
                <c:pt idx="271" formatCode="General">
                  <c:v>50.022658298840582</c:v>
                </c:pt>
                <c:pt idx="272" formatCode="General">
                  <c:v>50.02244083282347</c:v>
                </c:pt>
                <c:pt idx="273" formatCode="General">
                  <c:v>50.022225453965191</c:v>
                </c:pt>
                <c:pt idx="274" formatCode="General">
                  <c:v>50.022012142233962</c:v>
                </c:pt>
                <c:pt idx="275" formatCode="General">
                  <c:v>50.02180087779027</c:v>
                </c:pt>
                <c:pt idx="276" formatCode="General">
                  <c:v>50.02159164098498</c:v>
                </c:pt>
                <c:pt idx="277" formatCode="General">
                  <c:v>50.021384412357584</c:v>
                </c:pt>
                <c:pt idx="278" formatCode="General">
                  <c:v>50.021179172634326</c:v>
                </c:pt>
                <c:pt idx="279" formatCode="General">
                  <c:v>50.02097590272642</c:v>
                </c:pt>
                <c:pt idx="280" formatCode="General">
                  <c:v>50.020774583728318</c:v>
                </c:pt>
                <c:pt idx="281" formatCode="General">
                  <c:v>50.0205751969159</c:v>
                </c:pt>
                <c:pt idx="282" formatCode="General">
                  <c:v>50.020377723744765</c:v>
                </c:pt>
                <c:pt idx="283" formatCode="General">
                  <c:v>50.020182145848487</c:v>
                </c:pt>
                <c:pt idx="284" formatCode="General">
                  <c:v>50.019988445036908</c:v>
                </c:pt>
                <c:pt idx="285" formatCode="General">
                  <c:v>50.019796603294466</c:v>
                </c:pt>
                <c:pt idx="286" formatCode="General">
                  <c:v>50.019606602778488</c:v>
                </c:pt>
                <c:pt idx="287" formatCode="General">
                  <c:v>50.01941842581757</c:v>
                </c:pt>
                <c:pt idx="288" formatCode="General">
                  <c:v>50.019232054909907</c:v>
                </c:pt>
                <c:pt idx="289" formatCode="General">
                  <c:v>50.019047472721653</c:v>
                </c:pt>
                <c:pt idx="290" formatCode="General">
                  <c:v>50.018864662085342</c:v>
                </c:pt>
                <c:pt idx="291" formatCode="General">
                  <c:v>50.01868360599827</c:v>
                </c:pt>
                <c:pt idx="292" formatCode="General">
                  <c:v>50.018504287620914</c:v>
                </c:pt>
                <c:pt idx="293" formatCode="General">
                  <c:v>50.01832669027538</c:v>
                </c:pt>
                <c:pt idx="294" formatCode="General">
                  <c:v>50.018150797443838</c:v>
                </c:pt>
                <c:pt idx="295" formatCode="General">
                  <c:v>50.017976592766985</c:v>
                </c:pt>
                <c:pt idx="296" formatCode="General">
                  <c:v>50.017804060042536</c:v>
                </c:pt>
                <c:pt idx="297" formatCode="General">
                  <c:v>50.017633183223715</c:v>
                </c:pt>
                <c:pt idx="298" formatCode="General">
                  <c:v>50.017463946417735</c:v>
                </c:pt>
                <c:pt idx="299" formatCode="General">
                  <c:v>50.017296333884367</c:v>
                </c:pt>
                <c:pt idx="300" formatCode="General">
                  <c:v>50.017130330034433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B3-4B53-A0CC-0EB12EA58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440096"/>
        <c:axId val="794443696"/>
      </c:scatterChart>
      <c:valAx>
        <c:axId val="79444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443696"/>
        <c:crosses val="autoZero"/>
        <c:crossBetween val="midCat"/>
      </c:valAx>
      <c:valAx>
        <c:axId val="79444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440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bank [deg]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Sheet1!$AN$1</c:f>
              <c:strCache>
                <c:ptCount val="1"/>
                <c:pt idx="0">
                  <c:v>phi(t) [deg]</c:v>
                </c:pt>
              </c:strCache>
            </c:strRef>
          </c:tx>
          <c:spPr>
            <a:ln w="25400" cap="rnd">
              <a:solidFill>
                <a:srgbClr val="FF999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99"/>
              </a:solidFill>
              <a:ln w="9525">
                <a:solidFill>
                  <a:srgbClr val="FF9999"/>
                </a:solidFill>
              </a:ln>
              <a:effectLst/>
            </c:spPr>
          </c:marker>
          <c:xVal>
            <c:numRef>
              <c:f>Sheet1!$D$2:$D$302</c:f>
              <c:numCache>
                <c:formatCode>General</c:formatCode>
                <c:ptCount val="3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</c:numCache>
            </c:numRef>
          </c:xVal>
          <c:yVal>
            <c:numRef>
              <c:f>Sheet1!$AN$2:$AN$302</c:f>
              <c:numCache>
                <c:formatCode>0.00000000</c:formatCode>
                <c:ptCount val="301"/>
                <c:pt idx="0" formatCode="General">
                  <c:v>59.999999999999993</c:v>
                </c:pt>
                <c:pt idx="1">
                  <c:v>59.999999999999993</c:v>
                </c:pt>
                <c:pt idx="2" formatCode="General">
                  <c:v>59.960336846060649</c:v>
                </c:pt>
                <c:pt idx="3" formatCode="General">
                  <c:v>59.881893838027004</c:v>
                </c:pt>
                <c:pt idx="4" formatCode="General">
                  <c:v>59.765534604625238</c:v>
                </c:pt>
                <c:pt idx="5" formatCode="General">
                  <c:v>59.612103541539156</c:v>
                </c:pt>
                <c:pt idx="6" formatCode="General">
                  <c:v>59.422426239730726</c:v>
                </c:pt>
                <c:pt idx="7" formatCode="General">
                  <c:v>59.197309904221939</c:v>
                </c:pt>
                <c:pt idx="8" formatCode="General">
                  <c:v>58.937543763550295</c:v>
                </c:pt>
                <c:pt idx="9" formatCode="General">
                  <c:v>58.643899470105765</c:v>
                </c:pt>
                <c:pt idx="10" formatCode="General">
                  <c:v>58.317131491552232</c:v>
                </c:pt>
                <c:pt idx="11" formatCode="General">
                  <c:v>57.957977493531963</c:v>
                </c:pt>
                <c:pt idx="12" formatCode="General">
                  <c:v>57.567158713847171</c:v>
                </c:pt>
                <c:pt idx="13" formatCode="General">
                  <c:v>57.145380328308647</c:v>
                </c:pt>
                <c:pt idx="14" formatCode="General">
                  <c:v>56.693331808436888</c:v>
                </c:pt>
                <c:pt idx="15" formatCode="General">
                  <c:v>56.211687271197135</c:v>
                </c:pt>
                <c:pt idx="16" formatCode="General">
                  <c:v>55.701105820945941</c:v>
                </c:pt>
                <c:pt idx="17" formatCode="General">
                  <c:v>55.162231883762423</c:v>
                </c:pt>
                <c:pt idx="18" formatCode="General">
                  <c:v>54.595695534334084</c:v>
                </c:pt>
                <c:pt idx="19" formatCode="General">
                  <c:v>54.002112815562782</c:v>
                </c:pt>
                <c:pt idx="20" formatCode="General">
                  <c:v>53.382086051053093</c:v>
                </c:pt>
                <c:pt idx="21" formatCode="General">
                  <c:v>52.736204150641569</c:v>
                </c:pt>
                <c:pt idx="22" formatCode="General">
                  <c:v>52.065042909121807</c:v>
                </c:pt>
                <c:pt idx="23" formatCode="General">
                  <c:v>51.369165298316915</c:v>
                </c:pt>
                <c:pt idx="24" formatCode="General">
                  <c:v>50.649121752647559</c:v>
                </c:pt>
                <c:pt idx="25" formatCode="General">
                  <c:v>49.905450448340304</c:v>
                </c:pt>
                <c:pt idx="26" formatCode="General">
                  <c:v>49.138677576418083</c:v>
                </c:pt>
                <c:pt idx="27" formatCode="General">
                  <c:v>48.349317609611077</c:v>
                </c:pt>
                <c:pt idx="28" formatCode="General">
                  <c:v>47.537873563323508</c:v>
                </c:pt>
                <c:pt idx="29" formatCode="General">
                  <c:v>46.704837250788721</c:v>
                </c:pt>
                <c:pt idx="30" formatCode="General">
                  <c:v>45.850689532541907</c:v>
                </c:pt>
                <c:pt idx="31" formatCode="General">
                  <c:v>44.975900560337067</c:v>
                </c:pt>
                <c:pt idx="32" formatCode="General">
                  <c:v>44.080930015631985</c:v>
                </c:pt>
                <c:pt idx="33" formatCode="General">
                  <c:v>43.166227342762063</c:v>
                </c:pt>
                <c:pt idx="34" formatCode="General">
                  <c:v>42.232231976921419</c:v>
                </c:pt>
                <c:pt idx="35" formatCode="General">
                  <c:v>41.279373567066806</c:v>
                </c:pt>
                <c:pt idx="36" formatCode="General">
                  <c:v>40.30807219385747</c:v>
                </c:pt>
                <c:pt idx="37" formatCode="General">
                  <c:v>39.318738582741474</c:v>
                </c:pt>
                <c:pt idx="38" formatCode="General">
                  <c:v>38.311774312296606</c:v>
                </c:pt>
                <c:pt idx="39" formatCode="General">
                  <c:v>37.287572017931446</c:v>
                </c:pt>
                <c:pt idx="40" formatCode="General">
                  <c:v>36.246515591050134</c:v>
                </c:pt>
                <c:pt idx="41" formatCode="General">
                  <c:v>35.188980373781604</c:v>
                </c:pt>
                <c:pt idx="42" formatCode="General">
                  <c:v>34.115333349372271</c:v>
                </c:pt>
                <c:pt idx="43" formatCode="General">
                  <c:v>33.025933328338624</c:v>
                </c:pt>
                <c:pt idx="44" formatCode="General">
                  <c:v>31.92113113047424</c:v>
                </c:pt>
                <c:pt idx="45" formatCode="General">
                  <c:v>30.801269762803443</c:v>
                </c:pt>
                <c:pt idx="46" formatCode="General">
                  <c:v>29.666684593571965</c:v>
                </c:pt>
                <c:pt idx="47" formatCode="General">
                  <c:v>28.517703522362794</c:v>
                </c:pt>
                <c:pt idx="48" formatCode="General">
                  <c:v>27.354647146423599</c:v>
                </c:pt>
                <c:pt idx="49" formatCode="General">
                  <c:v>26.17782892328994</c:v>
                </c:pt>
                <c:pt idx="50" formatCode="General">
                  <c:v>24.987555329786975</c:v>
                </c:pt>
                <c:pt idx="51" formatCode="General">
                  <c:v>23.78412601749007</c:v>
                </c:pt>
                <c:pt idx="52" formatCode="General">
                  <c:v>22.567833964723398</c:v>
                </c:pt>
                <c:pt idx="53" formatCode="General">
                  <c:v>21.338965625173447</c:v>
                </c:pt>
                <c:pt idx="54" formatCode="General">
                  <c:v>20.097801073192954</c:v>
                </c:pt>
                <c:pt idx="55" formatCode="General">
                  <c:v>18.844614145868881</c:v>
                </c:pt>
                <c:pt idx="56" formatCode="General">
                  <c:v>17.579672581926559</c:v>
                </c:pt>
                <c:pt idx="57" formatCode="General">
                  <c:v>16.303238157540399</c:v>
                </c:pt>
                <c:pt idx="58" formatCode="General">
                  <c:v>15.015566819120135</c:v>
                </c:pt>
                <c:pt idx="59" formatCode="General">
                  <c:v>13.716908813139867</c:v>
                </c:pt>
                <c:pt idx="60" formatCode="General">
                  <c:v>12.407508813075845</c:v>
                </c:pt>
                <c:pt idx="61" formatCode="General">
                  <c:v>11.087606043517328</c:v>
                </c:pt>
                <c:pt idx="62" formatCode="General">
                  <c:v>9.7574344015134784</c:v>
                </c:pt>
                <c:pt idx="63" formatCode="General">
                  <c:v>8.4653283761908718</c:v>
                </c:pt>
                <c:pt idx="64" formatCode="General">
                  <c:v>7.241660751821569</c:v>
                </c:pt>
                <c:pt idx="65" formatCode="General">
                  <c:v>6.0849074027888799</c:v>
                </c:pt>
                <c:pt idx="66" formatCode="General">
                  <c:v>4.9935781458076596</c:v>
                </c:pt>
                <c:pt idx="67" formatCode="General">
                  <c:v>3.9662159840273805</c:v>
                </c:pt>
                <c:pt idx="68" formatCode="General">
                  <c:v>3.0013963679690523</c:v>
                </c:pt>
                <c:pt idx="69" formatCode="General">
                  <c:v>2.0977264729211105</c:v>
                </c:pt>
                <c:pt idx="70" formatCode="General">
                  <c:v>1.2538444924277199</c:v>
                </c:pt>
                <c:pt idx="71" formatCode="General">
                  <c:v>0.46669997814619929</c:v>
                </c:pt>
                <c:pt idx="72" formatCode="General">
                  <c:v>-0.27141722320734119</c:v>
                </c:pt>
                <c:pt idx="73" formatCode="General">
                  <c:v>-0.96565481232545691</c:v>
                </c:pt>
                <c:pt idx="74" formatCode="General">
                  <c:v>-1.6179166166501304</c:v>
                </c:pt>
                <c:pt idx="75" formatCode="General">
                  <c:v>-2.2296300354517067</c:v>
                </c:pt>
                <c:pt idx="76" formatCode="General">
                  <c:v>-2.8028997504550048</c:v>
                </c:pt>
                <c:pt idx="77" formatCode="General">
                  <c:v>-3.3400105067127677</c:v>
                </c:pt>
                <c:pt idx="78" formatCode="General">
                  <c:v>-3.8429603094202447</c:v>
                </c:pt>
                <c:pt idx="79" formatCode="General">
                  <c:v>-4.3135066710826049</c:v>
                </c:pt>
                <c:pt idx="80" formatCode="General">
                  <c:v>-4.7533329610726431</c:v>
                </c:pt>
                <c:pt idx="81" formatCode="General">
                  <c:v>-5.1640831680926569</c:v>
                </c:pt>
                <c:pt idx="82" formatCode="General">
                  <c:v>-5.5473237445554906</c:v>
                </c:pt>
                <c:pt idx="83" formatCode="General">
                  <c:v>-5.9045273733158385</c:v>
                </c:pt>
                <c:pt idx="84" formatCode="General">
                  <c:v>-6.2370851338727737</c:v>
                </c:pt>
                <c:pt idx="85" formatCode="General">
                  <c:v>-6.5463189696818942</c:v>
                </c:pt>
                <c:pt idx="86" formatCode="General">
                  <c:v>-6.8334850832387986</c:v>
                </c:pt>
                <c:pt idx="87" formatCode="General">
                  <c:v>-7.0997746577583891</c:v>
                </c:pt>
                <c:pt idx="88" formatCode="General">
                  <c:v>-7.346316540503155</c:v>
                </c:pt>
                <c:pt idx="89" formatCode="General">
                  <c:v>-7.574181098378431</c:v>
                </c:pt>
                <c:pt idx="90" formatCode="General">
                  <c:v>-7.7843835904508794</c:v>
                </c:pt>
                <c:pt idx="91" formatCode="General">
                  <c:v>-7.9778868812054844</c:v>
                </c:pt>
                <c:pt idx="92" formatCode="General">
                  <c:v>-8.1556039775415545</c:v>
                </c:pt>
                <c:pt idx="93" formatCode="General">
                  <c:v>-8.3184005793394267</c:v>
                </c:pt>
                <c:pt idx="94" formatCode="General">
                  <c:v>-8.4670975489051337</c:v>
                </c:pt>
                <c:pt idx="95" formatCode="General">
                  <c:v>-8.6024732219495057</c:v>
                </c:pt>
                <c:pt idx="96" formatCode="General">
                  <c:v>-8.7252655764386873</c:v>
                </c:pt>
                <c:pt idx="97" formatCode="General">
                  <c:v>-8.836174294373297</c:v>
                </c:pt>
                <c:pt idx="98" formatCode="General">
                  <c:v>-8.9358627266550847</c:v>
                </c:pt>
                <c:pt idx="99" formatCode="General">
                  <c:v>-9.0249597584796692</c:v>
                </c:pt>
                <c:pt idx="100" formatCode="General">
                  <c:v>-9.1040615768994027</c:v>
                </c:pt>
                <c:pt idx="101" formatCode="General">
                  <c:v>-9.1737333470211642</c:v>
                </c:pt>
                <c:pt idx="102" formatCode="General">
                  <c:v>-9.2345108029758052</c:v>
                </c:pt>
                <c:pt idx="103" formatCode="General">
                  <c:v>-9.2869017579398747</c:v>
                </c:pt>
                <c:pt idx="104" formatCode="General">
                  <c:v>-9.3313875368669628</c:v>
                </c:pt>
                <c:pt idx="105" formatCode="General">
                  <c:v>-9.3684243357782364</c:v>
                </c:pt>
                <c:pt idx="106" formatCode="General">
                  <c:v>-9.3984445114916149</c:v>
                </c:pt>
                <c:pt idx="107" formatCode="General">
                  <c:v>-9.4218578054106086</c:v>
                </c:pt>
                <c:pt idx="108" formatCode="General">
                  <c:v>-9.4390525047218183</c:v>
                </c:pt>
                <c:pt idx="109" formatCode="General">
                  <c:v>-9.4503965441749944</c:v>
                </c:pt>
                <c:pt idx="110" formatCode="General">
                  <c:v>-9.4562385514836329</c:v>
                </c:pt>
                <c:pt idx="111" formatCode="General">
                  <c:v>-9.4569088392369043</c:v>
                </c:pt>
                <c:pt idx="112" formatCode="General">
                  <c:v>-9.4527203460597828</c:v>
                </c:pt>
                <c:pt idx="113" formatCode="General">
                  <c:v>-9.4439695296141846</c:v>
                </c:pt>
                <c:pt idx="114" formatCode="General">
                  <c:v>-9.4309372139021708</c:v>
                </c:pt>
                <c:pt idx="115" formatCode="General">
                  <c:v>-9.4138893932080521</c:v>
                </c:pt>
                <c:pt idx="116" formatCode="General">
                  <c:v>-9.3930779948968812</c:v>
                </c:pt>
                <c:pt idx="117" formatCode="General">
                  <c:v>-9.3687416031730049</c:v>
                </c:pt>
                <c:pt idx="118" formatCode="General">
                  <c:v>-9.3411061457946705</c:v>
                </c:pt>
                <c:pt idx="119" formatCode="General">
                  <c:v>-9.3103855456387237</c:v>
                </c:pt>
                <c:pt idx="120" formatCode="General">
                  <c:v>-9.2767823389127066</c:v>
                </c:pt>
                <c:pt idx="121" formatCode="General">
                  <c:v>-9.2404882617197277</c:v>
                </c:pt>
                <c:pt idx="122" formatCode="General">
                  <c:v>-9.2016848065943524</c:v>
                </c:pt>
                <c:pt idx="123" formatCode="General">
                  <c:v>-9.1605437505449405</c:v>
                </c:pt>
                <c:pt idx="124" formatCode="General">
                  <c:v>-9.117227656059427</c:v>
                </c:pt>
                <c:pt idx="125" formatCode="General">
                  <c:v>-9.0718903464570637</c:v>
                </c:pt>
                <c:pt idx="126" formatCode="General">
                  <c:v>-9.0246773568979126</c:v>
                </c:pt>
                <c:pt idx="127" formatCode="General">
                  <c:v>-8.9757263622948908</c:v>
                </c:pt>
                <c:pt idx="128" formatCode="General">
                  <c:v>-8.9251675833094648</c:v>
                </c:pt>
                <c:pt idx="129" formatCode="General">
                  <c:v>-8.8731241715517584</c:v>
                </c:pt>
                <c:pt idx="130" formatCode="General">
                  <c:v>-8.819712575048511</c:v>
                </c:pt>
                <c:pt idx="131" formatCode="General">
                  <c:v>-8.7650428849879916</c:v>
                </c:pt>
                <c:pt idx="132" formatCode="General">
                  <c:v>-8.709219164699336</c:v>
                </c:pt>
                <c:pt idx="133" formatCode="General">
                  <c:v>-8.6523397617748987</c:v>
                </c:pt>
                <c:pt idx="134" formatCode="General">
                  <c:v>-8.5944976041976719</c:v>
                </c:pt>
                <c:pt idx="135" formatCode="General">
                  <c:v>-8.5357804812918499</c:v>
                </c:pt>
                <c:pt idx="136" formatCode="General">
                  <c:v>-8.4762713102726988</c:v>
                </c:pt>
                <c:pt idx="137" formatCode="General">
                  <c:v>-8.4160483891322979</c:v>
                </c:pt>
                <c:pt idx="138" formatCode="General">
                  <c:v>-8.3551856365599999</c:v>
                </c:pt>
                <c:pt idx="139" formatCode="General">
                  <c:v>-8.2937528195607584</c:v>
                </c:pt>
                <c:pt idx="140" formatCode="General">
                  <c:v>-8.2318157694005727</c:v>
                </c:pt>
                <c:pt idx="141" formatCode="General">
                  <c:v>-8.1694365864761025</c:v>
                </c:pt>
                <c:pt idx="142" formatCode="General">
                  <c:v>-8.1066738346750231</c:v>
                </c:pt>
                <c:pt idx="143" formatCode="General">
                  <c:v>-8.0435827257646775</c:v>
                </c:pt>
                <c:pt idx="144" formatCode="General">
                  <c:v>-7.9802152943191373</c:v>
                </c:pt>
                <c:pt idx="145" formatCode="General">
                  <c:v>-7.9166205636686993</c:v>
                </c:pt>
                <c:pt idx="146" formatCode="General">
                  <c:v>-7.8528447033310611</c:v>
                </c:pt>
                <c:pt idx="147" formatCode="General">
                  <c:v>-7.788931178360003</c:v>
                </c:pt>
                <c:pt idx="148" formatCode="General">
                  <c:v>-7.7249208910250644</c:v>
                </c:pt>
                <c:pt idx="149" formatCode="General">
                  <c:v>-7.6608523152145915</c:v>
                </c:pt>
                <c:pt idx="150" formatCode="General">
                  <c:v>-7.5967616239344729</c:v>
                </c:pt>
                <c:pt idx="151" formatCode="General">
                  <c:v>-7.5326828102558245</c:v>
                </c:pt>
                <c:pt idx="152" formatCode="General">
                  <c:v>-7.4686478020468456</c:v>
                </c:pt>
                <c:pt idx="153" formatCode="General">
                  <c:v>-7.4046865708069216</c:v>
                </c:pt>
                <c:pt idx="154" formatCode="General">
                  <c:v>-7.3408272349047676</c:v>
                </c:pt>
                <c:pt idx="155" formatCode="General">
                  <c:v>-7.2770961575070157</c:v>
                </c:pt>
                <c:pt idx="156" formatCode="General">
                  <c:v>-7.2135180394689646</c:v>
                </c:pt>
                <c:pt idx="157" formatCode="General">
                  <c:v>-7.1501160074453427</c:v>
                </c:pt>
                <c:pt idx="158" formatCode="General">
                  <c:v>-7.0869116974657418</c:v>
                </c:pt>
                <c:pt idx="159" formatCode="General">
                  <c:v>-7.0239253342068757</c:v>
                </c:pt>
                <c:pt idx="160" formatCode="General">
                  <c:v>-6.9611758061819344</c:v>
                </c:pt>
                <c:pt idx="161" formatCode="General">
                  <c:v>-6.8986807370560577</c:v>
                </c:pt>
                <c:pt idx="162" formatCode="General">
                  <c:v>-6.8364565532862533</c:v>
                </c:pt>
                <c:pt idx="163" formatCode="General">
                  <c:v>-6.7745185482739485</c:v>
                </c:pt>
                <c:pt idx="164" formatCode="General">
                  <c:v>-6.712880943208738</c:v>
                </c:pt>
                <c:pt idx="165" formatCode="General">
                  <c:v>-6.6515569447727625</c:v>
                </c:pt>
                <c:pt idx="166" formatCode="General">
                  <c:v>-6.5905587998664856</c:v>
                </c:pt>
                <c:pt idx="167" formatCode="General">
                  <c:v>-6.5298978475084271</c:v>
                </c:pt>
                <c:pt idx="168" formatCode="General">
                  <c:v>-6.469584568053584</c:v>
                </c:pt>
                <c:pt idx="169" formatCode="General">
                  <c:v>-6.4096286298678944</c:v>
                </c:pt>
                <c:pt idx="170" formatCode="General">
                  <c:v>-6.3500389335890697</c:v>
                </c:pt>
                <c:pt idx="171" formatCode="General">
                  <c:v>-6.2908236540974443</c:v>
                </c:pt>
                <c:pt idx="172" formatCode="General">
                  <c:v>-6.2319902803141813</c:v>
                </c:pt>
                <c:pt idx="173" formatCode="General">
                  <c:v>-6.1735456529381603</c:v>
                </c:pt>
                <c:pt idx="174" formatCode="General">
                  <c:v>-6.1154960002271972</c:v>
                </c:pt>
                <c:pt idx="175" formatCode="General">
                  <c:v>-6.057846971923821</c:v>
                </c:pt>
                <c:pt idx="176" formatCode="General">
                  <c:v>-6.0006036714207225</c:v>
                </c:pt>
                <c:pt idx="177" formatCode="General">
                  <c:v>-5.9437706862561202</c:v>
                </c:pt>
                <c:pt idx="178" formatCode="General">
                  <c:v>-5.8873521170246743</c:v>
                </c:pt>
                <c:pt idx="179" formatCode="General">
                  <c:v>-5.8313516047851923</c:v>
                </c:pt>
                <c:pt idx="180" formatCode="General">
                  <c:v>-5.7757723570422232</c:v>
                </c:pt>
                <c:pt idx="181" formatCode="General">
                  <c:v>-5.7206171723746957</c:v>
                </c:pt>
                <c:pt idx="182" formatCode="General">
                  <c:v>-5.6658884637809956</c:v>
                </c:pt>
                <c:pt idx="183" formatCode="General">
                  <c:v>-5.6115882808063597</c:v>
                </c:pt>
                <c:pt idx="184" formatCode="General">
                  <c:v>-5.5577183305150557</c:v>
                </c:pt>
                <c:pt idx="185" formatCode="General">
                  <c:v>-5.5042799973666527</c:v>
                </c:pt>
                <c:pt idx="186" formatCode="General">
                  <c:v>-5.4512743620526347</c:v>
                </c:pt>
                <c:pt idx="187" formatCode="General">
                  <c:v>-5.3987022193467444</c:v>
                </c:pt>
                <c:pt idx="188" formatCode="General">
                  <c:v>-5.3465640950197013</c:v>
                </c:pt>
                <c:pt idx="189" formatCode="General">
                  <c:v>-5.2948602618663498</c:v>
                </c:pt>
                <c:pt idx="190" formatCode="General">
                  <c:v>-5.2435907548908496</c:v>
                </c:pt>
                <c:pt idx="191" formatCode="General">
                  <c:v>-5.1927553856931556</c:v>
                </c:pt>
                <c:pt idx="192" formatCode="General">
                  <c:v>-5.1423537560978572</c:v>
                </c:pt>
                <c:pt idx="193" formatCode="General">
                  <c:v>-5.0923852710643169</c:v>
                </c:pt>
                <c:pt idx="194" formatCode="General">
                  <c:v>-5.0428491509150657</c:v>
                </c:pt>
                <c:pt idx="195" formatCode="General">
                  <c:v>-4.9937444429175351</c:v>
                </c:pt>
                <c:pt idx="196" formatCode="General">
                  <c:v>-4.9450700322523797</c:v>
                </c:pt>
                <c:pt idx="197" formatCode="General">
                  <c:v>-4.8968246523999728</c:v>
                </c:pt>
                <c:pt idx="198" formatCode="General">
                  <c:v>-4.8490068949750205</c:v>
                </c:pt>
                <c:pt idx="199" formatCode="General">
                  <c:v>-4.8016152190377177</c:v>
                </c:pt>
                <c:pt idx="200" formatCode="General">
                  <c:v>-4.754647959908409</c:v>
                </c:pt>
                <c:pt idx="201" formatCode="General">
                  <c:v>-4.7081033375113428</c:v>
                </c:pt>
                <c:pt idx="202" formatCode="General">
                  <c:v>-4.6619794642717851</c:v>
                </c:pt>
                <c:pt idx="203" formatCode="General">
                  <c:v>-4.6162743525895378</c:v>
                </c:pt>
                <c:pt idx="204" formatCode="General">
                  <c:v>-4.5709859219106947</c:v>
                </c:pt>
                <c:pt idx="205" formatCode="General">
                  <c:v>-4.5261120054183923</c:v>
                </c:pt>
                <c:pt idx="206" formatCode="General">
                  <c:v>-4.4816503563622057</c:v>
                </c:pt>
                <c:pt idx="207" formatCode="General">
                  <c:v>-4.4375986540448666</c:v>
                </c:pt>
                <c:pt idx="208" formatCode="General">
                  <c:v>-4.3939545094840042</c:v>
                </c:pt>
                <c:pt idx="209" formatCode="General">
                  <c:v>-4.3507154707657145</c:v>
                </c:pt>
                <c:pt idx="210" formatCode="General">
                  <c:v>-4.3078790281058987</c:v>
                </c:pt>
                <c:pt idx="211" formatCode="General">
                  <c:v>-4.2654426186344905</c:v>
                </c:pt>
                <c:pt idx="212" formatCode="General">
                  <c:v>-4.2234036309169189</c:v>
                </c:pt>
                <c:pt idx="213" formatCode="General">
                  <c:v>-4.1817594092264292</c:v>
                </c:pt>
                <c:pt idx="214" formatCode="General">
                  <c:v>-4.14050725758017</c:v>
                </c:pt>
                <c:pt idx="215" formatCode="General">
                  <c:v>-4.0996444435512993</c:v>
                </c:pt>
                <c:pt idx="216" formatCode="General">
                  <c:v>-4.0591682018687401</c:v>
                </c:pt>
                <c:pt idx="217" formatCode="General">
                  <c:v>-4.019075737815613</c:v>
                </c:pt>
                <c:pt idx="218" formatCode="General">
                  <c:v>-3.9793642304368051</c:v>
                </c:pt>
                <c:pt idx="219" formatCode="General">
                  <c:v>-3.9400308355656124</c:v>
                </c:pt>
                <c:pt idx="220" formatCode="General">
                  <c:v>-3.9010726886788598</c:v>
                </c:pt>
                <c:pt idx="221" formatCode="General">
                  <c:v>-3.8624869075894499</c:v>
                </c:pt>
                <c:pt idx="222" formatCode="General">
                  <c:v>-3.8242705949848022</c:v>
                </c:pt>
                <c:pt idx="223" formatCode="General">
                  <c:v>-3.7864208408192352</c:v>
                </c:pt>
                <c:pt idx="224" formatCode="General">
                  <c:v>-3.748934724567913</c:v>
                </c:pt>
                <c:pt idx="225" formatCode="General">
                  <c:v>-3.7118093173495983</c:v>
                </c:pt>
                <c:pt idx="226" formatCode="General">
                  <c:v>-3.6750416839250746</c:v>
                </c:pt>
                <c:pt idx="227" formatCode="General">
                  <c:v>-3.638628884577753</c:v>
                </c:pt>
                <c:pt idx="228" formatCode="General">
                  <c:v>-3.6025679768826429</c:v>
                </c:pt>
                <c:pt idx="229" formatCode="General">
                  <c:v>-3.5668560173695401</c:v>
                </c:pt>
                <c:pt idx="230" formatCode="General">
                  <c:v>-3.5314900630860073</c:v>
                </c:pt>
                <c:pt idx="231" formatCode="General">
                  <c:v>-3.4964671730654047</c:v>
                </c:pt>
                <c:pt idx="232" formatCode="General">
                  <c:v>-3.461784409704987</c:v>
                </c:pt>
                <c:pt idx="233" formatCode="General">
                  <c:v>-3.4274388400588038</c:v>
                </c:pt>
                <c:pt idx="234" formatCode="General">
                  <c:v>-3.393427537049913</c:v>
                </c:pt>
                <c:pt idx="235" formatCode="General">
                  <c:v>-3.3597475806061694</c:v>
                </c:pt>
                <c:pt idx="236" formatCode="General">
                  <c:v>-3.3263960587236472</c:v>
                </c:pt>
                <c:pt idx="237" formatCode="General">
                  <c:v>-3.293370068461531</c:v>
                </c:pt>
                <c:pt idx="238" formatCode="General">
                  <c:v>-3.2606667168721253</c:v>
                </c:pt>
                <c:pt idx="239" formatCode="General">
                  <c:v>-3.2282831218694361</c:v>
                </c:pt>
                <c:pt idx="240" formatCode="General">
                  <c:v>-3.196216413039604</c:v>
                </c:pt>
                <c:pt idx="241" formatCode="General">
                  <c:v>-3.1644637323962961</c:v>
                </c:pt>
                <c:pt idx="242" formatCode="General">
                  <c:v>-3.1330222350840109</c:v>
                </c:pt>
                <c:pt idx="243" formatCode="General">
                  <c:v>-3.1018890900320883</c:v>
                </c:pt>
                <c:pt idx="244" formatCode="General">
                  <c:v>-3.0710614805620811</c:v>
                </c:pt>
                <c:pt idx="245" formatCode="General">
                  <c:v>-3.0405366049509963</c:v>
                </c:pt>
                <c:pt idx="246" formatCode="General">
                  <c:v>-3.0103116769528073</c:v>
                </c:pt>
                <c:pt idx="247" formatCode="General">
                  <c:v>-2.9803839262804823</c:v>
                </c:pt>
                <c:pt idx="248" formatCode="General">
                  <c:v>-2.9507505990506835</c:v>
                </c:pt>
                <c:pt idx="249" formatCode="General">
                  <c:v>-2.9214089581931777</c:v>
                </c:pt>
                <c:pt idx="250" formatCode="General">
                  <c:v>-2.8923562838268695</c:v>
                </c:pt>
                <c:pt idx="251" formatCode="General">
                  <c:v>-2.8635898736043082</c:v>
                </c:pt>
                <c:pt idx="252" formatCode="General">
                  <c:v>-2.8351070430263881</c:v>
                </c:pt>
                <c:pt idx="253" formatCode="General">
                  <c:v>-2.8069051257288917</c:v>
                </c:pt>
                <c:pt idx="254" formatCode="General">
                  <c:v>-2.7789814737424385</c:v>
                </c:pt>
                <c:pt idx="255" formatCode="General">
                  <c:v>-2.7513334577273127</c:v>
                </c:pt>
                <c:pt idx="256" formatCode="General">
                  <c:v>-2.7239584671845765</c:v>
                </c:pt>
                <c:pt idx="257" formatCode="General">
                  <c:v>-2.6968539106447951</c:v>
                </c:pt>
                <c:pt idx="258" formatCode="General">
                  <c:v>-2.6700172158356343</c:v>
                </c:pt>
                <c:pt idx="259" formatCode="General">
                  <c:v>-2.6434458298295245</c:v>
                </c:pt>
                <c:pt idx="260" formatCode="General">
                  <c:v>-2.6171372191725246</c:v>
                </c:pt>
                <c:pt idx="261" formatCode="General">
                  <c:v>-2.5910888699954584</c:v>
                </c:pt>
                <c:pt idx="262" formatCode="General">
                  <c:v>-2.565298288108341</c:v>
                </c:pt>
                <c:pt idx="263" formatCode="General">
                  <c:v>-2.5397629990790578</c:v>
                </c:pt>
                <c:pt idx="264" formatCode="General">
                  <c:v>-2.5144805482972119</c:v>
                </c:pt>
                <c:pt idx="265" formatCode="General">
                  <c:v>-2.4894485010240035</c:v>
                </c:pt>
                <c:pt idx="266" formatCode="General">
                  <c:v>-2.4646644424289685</c:v>
                </c:pt>
                <c:pt idx="267" formatCode="General">
                  <c:v>-2.4401259776143402</c:v>
                </c:pt>
                <c:pt idx="268" formatCode="General">
                  <c:v>-2.4158307316277878</c:v>
                </c:pt>
                <c:pt idx="269" formatCode="General">
                  <c:v>-2.3917763494642168</c:v>
                </c:pt>
                <c:pt idx="270" formatCode="General">
                  <c:v>-2.367960496057298</c:v>
                </c:pt>
                <c:pt idx="271" formatCode="General">
                  <c:v>-2.3443808562613531</c:v>
                </c:pt>
                <c:pt idx="272" formatCode="General">
                  <c:v>-2.3210351348241867</c:v>
                </c:pt>
                <c:pt idx="273" formatCode="General">
                  <c:v>-2.2979210563514272</c:v>
                </c:pt>
                <c:pt idx="274" formatCode="General">
                  <c:v>-2.2750363652629146</c:v>
                </c:pt>
                <c:pt idx="275" formatCode="General">
                  <c:v>-2.2523788257416295</c:v>
                </c:pt>
                <c:pt idx="276" formatCode="General">
                  <c:v>-2.229946221675652</c:v>
                </c:pt>
                <c:pt idx="277" formatCode="General">
                  <c:v>-2.207736356593593</c:v>
                </c:pt>
                <c:pt idx="278" formatCode="General">
                  <c:v>-2.1857470535939338</c:v>
                </c:pt>
                <c:pt idx="279" formatCode="General">
                  <c:v>-2.1639761552686703</c:v>
                </c:pt>
                <c:pt idx="280" formatCode="General">
                  <c:v>-2.1424215236216573</c:v>
                </c:pt>
                <c:pt idx="281" formatCode="General">
                  <c:v>-2.1210810399820024</c:v>
                </c:pt>
                <c:pt idx="282" formatCode="General">
                  <c:v>-2.0999526049128661</c:v>
                </c:pt>
                <c:pt idx="283" formatCode="General">
                  <c:v>-2.0790341381159814</c:v>
                </c:pt>
                <c:pt idx="284" formatCode="General">
                  <c:v>-2.0583235783322129</c:v>
                </c:pt>
                <c:pt idx="285" formatCode="General">
                  <c:v>-2.037818883238431</c:v>
                </c:pt>
                <c:pt idx="286" formatCode="General">
                  <c:v>-2.0175180293409927</c:v>
                </c:pt>
                <c:pt idx="287" formatCode="General">
                  <c:v>-1.9974190118660791</c:v>
                </c:pt>
                <c:pt idx="288" formatCode="General">
                  <c:v>-1.9775198446471351</c:v>
                </c:pt>
                <c:pt idx="289" formatCode="General">
                  <c:v>-1.9578185600096527</c:v>
                </c:pt>
                <c:pt idx="290" formatCode="General">
                  <c:v>-1.9383132086535086</c:v>
                </c:pt>
                <c:pt idx="291" formatCode="General">
                  <c:v>-1.9190018595330687</c:v>
                </c:pt>
                <c:pt idx="292" formatCode="General">
                  <c:v>-1.8998825997352542</c:v>
                </c:pt>
                <c:pt idx="293" formatCode="General">
                  <c:v>-1.8809535343557573</c:v>
                </c:pt>
                <c:pt idx="294" formatCode="General">
                  <c:v>-1.8622127863735787</c:v>
                </c:pt>
                <c:pt idx="295" formatCode="General">
                  <c:v>-1.843658496524053</c:v>
                </c:pt>
                <c:pt idx="296" formatCode="General">
                  <c:v>-1.825288823170522</c:v>
                </c:pt>
                <c:pt idx="297" formatCode="General">
                  <c:v>-1.8071019421747965</c:v>
                </c:pt>
                <c:pt idx="298" formatCode="General">
                  <c:v>-1.7890960467665524</c:v>
                </c:pt>
                <c:pt idx="299" formatCode="General">
                  <c:v>-1.7712693474117875</c:v>
                </c:pt>
                <c:pt idx="300" formatCode="General">
                  <c:v>-1.753620071680468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53-42C1-9442-3FDEF8F4D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440096"/>
        <c:axId val="794443696"/>
      </c:scatterChart>
      <c:valAx>
        <c:axId val="794440096"/>
        <c:scaling>
          <c:orientation val="minMax"/>
          <c:max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443696"/>
        <c:crosses val="autoZero"/>
        <c:crossBetween val="midCat"/>
      </c:valAx>
      <c:valAx>
        <c:axId val="79444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440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Sheet1!$AV$1</c:f>
              <c:strCache>
                <c:ptCount val="1"/>
                <c:pt idx="0">
                  <c:v>PID  p(t) [deg/s]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CCC"/>
              </a:solidFill>
              <a:ln w="9525">
                <a:solidFill>
                  <a:srgbClr val="FFCCCC"/>
                </a:solidFill>
              </a:ln>
              <a:effectLst/>
            </c:spPr>
          </c:marker>
          <c:xVal>
            <c:numRef>
              <c:f>Sheet1!$D$2:$D$302</c:f>
              <c:numCache>
                <c:formatCode>General</c:formatCode>
                <c:ptCount val="3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</c:numCache>
            </c:numRef>
          </c:xVal>
          <c:yVal>
            <c:numRef>
              <c:f>Sheet1!$AV$2:$AV$302</c:f>
              <c:numCache>
                <c:formatCode>0.00000000</c:formatCode>
                <c:ptCount val="301"/>
                <c:pt idx="0" formatCode="General">
                  <c:v>0</c:v>
                </c:pt>
                <c:pt idx="1">
                  <c:v>-3.9663153939347873</c:v>
                </c:pt>
                <c:pt idx="2" formatCode="General">
                  <c:v>-7.8443008033644475</c:v>
                </c:pt>
                <c:pt idx="3" formatCode="General">
                  <c:v>-11.635923340176911</c:v>
                </c:pt>
                <c:pt idx="4" formatCode="General">
                  <c:v>-15.343106308608586</c:v>
                </c:pt>
                <c:pt idx="5" formatCode="General">
                  <c:v>-18.967730180842324</c:v>
                </c:pt>
                <c:pt idx="6" formatCode="General">
                  <c:v>-22.511633550878752</c:v>
                </c:pt>
                <c:pt idx="7" formatCode="General">
                  <c:v>-25.976614067164906</c:v>
                </c:pt>
                <c:pt idx="8" formatCode="General">
                  <c:v>-29.364429344453143</c:v>
                </c:pt>
                <c:pt idx="9" formatCode="General">
                  <c:v>-32.67679785535293</c:v>
                </c:pt>
                <c:pt idx="10" formatCode="General">
                  <c:v>-35.915399802027778</c:v>
                </c:pt>
                <c:pt idx="11" formatCode="General">
                  <c:v>-39.081877968479425</c:v>
                </c:pt>
                <c:pt idx="12" formatCode="General">
                  <c:v>-42.177838553851622</c:v>
                </c:pt>
                <c:pt idx="13" formatCode="General">
                  <c:v>-45.204851987176198</c:v>
                </c:pt>
                <c:pt idx="14" formatCode="General">
                  <c:v>-48.164453723974773</c:v>
                </c:pt>
                <c:pt idx="15" formatCode="General">
                  <c:v>-51.058145025120012</c:v>
                </c:pt>
                <c:pt idx="16" formatCode="General">
                  <c:v>-53.88739371835171</c:v>
                </c:pt>
                <c:pt idx="17" formatCode="General">
                  <c:v>-56.65363494283384</c:v>
                </c:pt>
                <c:pt idx="18" formatCode="General">
                  <c:v>-59.358271877130271</c:v>
                </c:pt>
                <c:pt idx="19" formatCode="General">
                  <c:v>-62.002676450968501</c:v>
                </c:pt>
                <c:pt idx="20" formatCode="General">
                  <c:v>-64.58819004115233</c:v>
                </c:pt>
                <c:pt idx="21" formatCode="General">
                  <c:v>-67.116124151976564</c:v>
                </c:pt>
                <c:pt idx="22" formatCode="General">
                  <c:v>-69.587761080488832</c:v>
                </c:pt>
                <c:pt idx="23" formatCode="General">
                  <c:v>-72.004354566936044</c:v>
                </c:pt>
                <c:pt idx="24" formatCode="General">
                  <c:v>-74.367130430725354</c:v>
                </c:pt>
                <c:pt idx="25" formatCode="General">
                  <c:v>-76.677287192222195</c:v>
                </c:pt>
                <c:pt idx="26" formatCode="General">
                  <c:v>-78.935996680700981</c:v>
                </c:pt>
                <c:pt idx="27" formatCode="General">
                  <c:v>-81.144404628756661</c:v>
                </c:pt>
                <c:pt idx="28" formatCode="General">
                  <c:v>-83.303631253478571</c:v>
                </c:pt>
                <c:pt idx="29" formatCode="General">
                  <c:v>-85.414771824681793</c:v>
                </c:pt>
                <c:pt idx="30" formatCode="General">
                  <c:v>-87.478897220483773</c:v>
                </c:pt>
                <c:pt idx="31" formatCode="General">
                  <c:v>-89.497054470508274</c:v>
                </c:pt>
                <c:pt idx="32" formatCode="General">
                  <c:v>-91.470267286992225</c:v>
                </c:pt>
                <c:pt idx="33" formatCode="General">
                  <c:v>-93.399536584064705</c:v>
                </c:pt>
                <c:pt idx="34" formatCode="General">
                  <c:v>-95.285840985461675</c:v>
                </c:pt>
                <c:pt idx="35" formatCode="General">
                  <c:v>-97.130137320933756</c:v>
                </c:pt>
                <c:pt idx="36" formatCode="General">
                  <c:v>-98.933361111599069</c:v>
                </c:pt>
                <c:pt idx="37" formatCode="General">
                  <c:v>-100.69642704448729</c:v>
                </c:pt>
                <c:pt idx="38" formatCode="General">
                  <c:v>-102.42022943651548</c:v>
                </c:pt>
                <c:pt idx="39" formatCode="General">
                  <c:v>-104.10564268813124</c:v>
                </c:pt>
                <c:pt idx="40" formatCode="General">
                  <c:v>-105.75352172685319</c:v>
                </c:pt>
                <c:pt idx="41" formatCode="General">
                  <c:v>-107.36470244093378</c:v>
                </c:pt>
                <c:pt idx="42" formatCode="General">
                  <c:v>-108.94000210336444</c:v>
                </c:pt>
                <c:pt idx="43" formatCode="General">
                  <c:v>-110.48021978643808</c:v>
                </c:pt>
                <c:pt idx="44" formatCode="General">
                  <c:v>-111.98613676707933</c:v>
                </c:pt>
                <c:pt idx="45" formatCode="General">
                  <c:v>-113.45851692314795</c:v>
                </c:pt>
                <c:pt idx="46" formatCode="General">
                  <c:v>-114.89810712091672</c:v>
                </c:pt>
                <c:pt idx="47" formatCode="General">
                  <c:v>-116.30563759392001</c:v>
                </c:pt>
                <c:pt idx="48" formatCode="General">
                  <c:v>-117.68182231336549</c:v>
                </c:pt>
                <c:pt idx="49" formatCode="General">
                  <c:v>-119.02735935029666</c:v>
                </c:pt>
                <c:pt idx="50" formatCode="General">
                  <c:v>-120.34293122969022</c:v>
                </c:pt>
                <c:pt idx="51" formatCode="General">
                  <c:v>-121.62920527666735</c:v>
                </c:pt>
                <c:pt idx="52" formatCode="General">
                  <c:v>-122.88683395499511</c:v>
                </c:pt>
                <c:pt idx="53" formatCode="General">
                  <c:v>-124.11645519804939</c:v>
                </c:pt>
                <c:pt idx="54" formatCode="General">
                  <c:v>-125.31869273240713</c:v>
                </c:pt>
                <c:pt idx="55" formatCode="General">
                  <c:v>-126.49415639423226</c:v>
                </c:pt>
                <c:pt idx="56" formatCode="General">
                  <c:v>-127.64344243861574</c:v>
                </c:pt>
                <c:pt idx="57" formatCode="General">
                  <c:v>-128.76713384202651</c:v>
                </c:pt>
                <c:pt idx="58" formatCode="General">
                  <c:v>-129.86580059802682</c:v>
                </c:pt>
                <c:pt idx="59" formatCode="General">
                  <c:v>-130.94000000640213</c:v>
                </c:pt>
                <c:pt idx="60" formatCode="General">
                  <c:v>-131.99027695585187</c:v>
                </c:pt>
                <c:pt idx="61" formatCode="General">
                  <c:v>-133.01716420038488</c:v>
                </c:pt>
                <c:pt idx="62" formatCode="General">
                  <c:v>-129.21060253226059</c:v>
                </c:pt>
                <c:pt idx="63" formatCode="General">
                  <c:v>-122.36676243693034</c:v>
                </c:pt>
                <c:pt idx="64" formatCode="General">
                  <c:v>-115.6753349032689</c:v>
                </c:pt>
                <c:pt idx="65" formatCode="General">
                  <c:v>-109.13292569812197</c:v>
                </c:pt>
                <c:pt idx="66" formatCode="General">
                  <c:v>-102.73621617802793</c:v>
                </c:pt>
                <c:pt idx="67" formatCode="General">
                  <c:v>-96.481961605832822</c:v>
                </c:pt>
                <c:pt idx="68" formatCode="General">
                  <c:v>-90.366989504794176</c:v>
                </c:pt>
                <c:pt idx="69" formatCode="General">
                  <c:v>-84.388198049339067</c:v>
                </c:pt>
                <c:pt idx="70" formatCode="General">
                  <c:v>-78.714451428152074</c:v>
                </c:pt>
                <c:pt idx="71" formatCode="General">
                  <c:v>-73.811720135354051</c:v>
                </c:pt>
                <c:pt idx="72" formatCode="General">
                  <c:v>-69.423758911811561</c:v>
                </c:pt>
                <c:pt idx="73" formatCode="General">
                  <c:v>-65.226180432467373</c:v>
                </c:pt>
                <c:pt idx="74" formatCode="General">
                  <c:v>-61.171341880157627</c:v>
                </c:pt>
                <c:pt idx="75" formatCode="General">
                  <c:v>-57.326971500329805</c:v>
                </c:pt>
                <c:pt idx="76" formatCode="General">
                  <c:v>-53.711075625776296</c:v>
                </c:pt>
                <c:pt idx="77" formatCode="General">
                  <c:v>-50.294980270747715</c:v>
                </c:pt>
                <c:pt idx="78" formatCode="General">
                  <c:v>-47.054636166236008</c:v>
                </c:pt>
                <c:pt idx="79" formatCode="General">
                  <c:v>-43.982628999003808</c:v>
                </c:pt>
                <c:pt idx="80" formatCode="General">
                  <c:v>-41.075020702001389</c:v>
                </c:pt>
                <c:pt idx="81" formatCode="General">
                  <c:v>-38.32405764628335</c:v>
                </c:pt>
                <c:pt idx="82" formatCode="General">
                  <c:v>-35.720362876034798</c:v>
                </c:pt>
                <c:pt idx="83" formatCode="General">
                  <c:v>-33.255776055693538</c:v>
                </c:pt>
                <c:pt idx="84" formatCode="General">
                  <c:v>-30.923383580912063</c:v>
                </c:pt>
                <c:pt idx="85" formatCode="General">
                  <c:v>-28.716611355690414</c:v>
                </c:pt>
                <c:pt idx="86" formatCode="General">
                  <c:v>-26.628957451959035</c:v>
                </c:pt>
                <c:pt idx="87" formatCode="General">
                  <c:v>-24.65418827447667</c:v>
                </c:pt>
                <c:pt idx="88" formatCode="General">
                  <c:v>-22.786455787527608</c:v>
                </c:pt>
                <c:pt idx="89" formatCode="General">
                  <c:v>-21.020249207244905</c:v>
                </c:pt>
                <c:pt idx="90" formatCode="General">
                  <c:v>-19.350329075460522</c:v>
                </c:pt>
                <c:pt idx="91" formatCode="General">
                  <c:v>-17.771709633607056</c:v>
                </c:pt>
                <c:pt idx="92" formatCode="General">
                  <c:v>-16.279660179787317</c:v>
                </c:pt>
                <c:pt idx="93" formatCode="General">
                  <c:v>-14.869696956570504</c:v>
                </c:pt>
                <c:pt idx="94" formatCode="General">
                  <c:v>-13.537567304437188</c:v>
                </c:pt>
                <c:pt idx="95" formatCode="General">
                  <c:v>-12.279235448918222</c:v>
                </c:pt>
                <c:pt idx="96" formatCode="General">
                  <c:v>-11.09087179346094</c:v>
                </c:pt>
                <c:pt idx="97" formatCode="General">
                  <c:v>-9.9688432281786596</c:v>
                </c:pt>
                <c:pt idx="98" formatCode="General">
                  <c:v>-8.9097031824585038</c:v>
                </c:pt>
                <c:pt idx="99" formatCode="General">
                  <c:v>-7.9101818419733139</c:v>
                </c:pt>
                <c:pt idx="100" formatCode="General">
                  <c:v>-6.9671770121761449</c:v>
                </c:pt>
                <c:pt idx="101" formatCode="General">
                  <c:v>-6.0777455954639423</c:v>
                </c:pt>
                <c:pt idx="102" formatCode="General">
                  <c:v>-5.23909549640707</c:v>
                </c:pt>
                <c:pt idx="103" formatCode="General">
                  <c:v>-4.4485778927086761</c:v>
                </c:pt>
                <c:pt idx="104" formatCode="General">
                  <c:v>-3.7036798911273503</c:v>
                </c:pt>
                <c:pt idx="105" formatCode="General">
                  <c:v>-3.0020175713379129</c:v>
                </c:pt>
                <c:pt idx="106" formatCode="General">
                  <c:v>-2.3413293918993285</c:v>
                </c:pt>
                <c:pt idx="107" formatCode="General">
                  <c:v>-1.7194699311209261</c:v>
                </c:pt>
                <c:pt idx="108" formatCode="General">
                  <c:v>-1.1344039453177441</c:v>
                </c:pt>
                <c:pt idx="109" formatCode="General">
                  <c:v>-0.58420073086390945</c:v>
                </c:pt>
                <c:pt idx="110" formatCode="General">
                  <c:v>-6.7028775326999204E-2</c:v>
                </c:pt>
                <c:pt idx="111" formatCode="General">
                  <c:v>0.4188493177120981</c:v>
                </c:pt>
                <c:pt idx="112" formatCode="General">
                  <c:v>0.87508164455980897</c:v>
                </c:pt>
                <c:pt idx="113" formatCode="General">
                  <c:v>1.3032315712014109</c:v>
                </c:pt>
                <c:pt idx="114" formatCode="General">
                  <c:v>1.7047820694117963</c:v>
                </c:pt>
                <c:pt idx="115" formatCode="General">
                  <c:v>2.0811398311171296</c:v>
                </c:pt>
                <c:pt idx="116" formatCode="General">
                  <c:v>2.4336391723877004</c:v>
                </c:pt>
                <c:pt idx="117" formatCode="General">
                  <c:v>2.7635457378334678</c:v>
                </c:pt>
                <c:pt idx="118" formatCode="General">
                  <c:v>3.0720600155945292</c:v>
                </c:pt>
                <c:pt idx="119" formatCode="General">
                  <c:v>3.36032067260183</c:v>
                </c:pt>
                <c:pt idx="120" formatCode="General">
                  <c:v>3.6294077192978689</c:v>
                </c:pt>
                <c:pt idx="121" formatCode="General">
                  <c:v>3.8803455125374544</c:v>
                </c:pt>
                <c:pt idx="122" formatCode="General">
                  <c:v>4.1141056049412441</c:v>
                </c:pt>
                <c:pt idx="123" formatCode="General">
                  <c:v>4.3316094485512036</c:v>
                </c:pt>
                <c:pt idx="124" formatCode="General">
                  <c:v>4.5337309602363121</c:v>
                </c:pt>
                <c:pt idx="125" formatCode="General">
                  <c:v>4.7212989559150582</c:v>
                </c:pt>
                <c:pt idx="126" formatCode="General">
                  <c:v>4.8950994603021902</c:v>
                </c:pt>
                <c:pt idx="127" formatCode="General">
                  <c:v>5.0558778985425601</c:v>
                </c:pt>
                <c:pt idx="128" formatCode="General">
                  <c:v>5.204341175770689</c:v>
                </c:pt>
                <c:pt idx="129" formatCode="General">
                  <c:v>5.3411596503246468</c:v>
                </c:pt>
                <c:pt idx="130" formatCode="General">
                  <c:v>5.4669690060520537</c:v>
                </c:pt>
                <c:pt idx="131" formatCode="General">
                  <c:v>5.5823720288654988</c:v>
                </c:pt>
                <c:pt idx="132" formatCode="General">
                  <c:v>5.6879402924438294</c:v>
                </c:pt>
                <c:pt idx="133" formatCode="General">
                  <c:v>5.7842157577226541</c:v>
                </c:pt>
                <c:pt idx="134" formatCode="General">
                  <c:v>5.871712290582308</c:v>
                </c:pt>
                <c:pt idx="135" formatCode="General">
                  <c:v>5.9509171019151266</c:v>
                </c:pt>
                <c:pt idx="136" formatCode="General">
                  <c:v>6.0222921140400523</c:v>
                </c:pt>
                <c:pt idx="137" formatCode="General">
                  <c:v>6.0862752572297625</c:v>
                </c:pt>
                <c:pt idx="138" formatCode="General">
                  <c:v>6.1432816999240831</c:v>
                </c:pt>
                <c:pt idx="139" formatCode="General">
                  <c:v>6.1937050160186615</c:v>
                </c:pt>
                <c:pt idx="140" formatCode="General">
                  <c:v>6.2379182924469747</c:v>
                </c:pt>
                <c:pt idx="141" formatCode="General">
                  <c:v>6.2762751801079242</c:v>
                </c:pt>
                <c:pt idx="142" formatCode="General">
                  <c:v>6.3091108910346314</c:v>
                </c:pt>
                <c:pt idx="143" formatCode="General">
                  <c:v>6.3367431445539095</c:v>
                </c:pt>
                <c:pt idx="144" formatCode="General">
                  <c:v>6.3594730650438329</c:v>
                </c:pt>
                <c:pt idx="145" formatCode="General">
                  <c:v>6.3775860337637669</c:v>
                </c:pt>
                <c:pt idx="146" formatCode="General">
                  <c:v>6.3913524971057614</c:v>
                </c:pt>
                <c:pt idx="147" formatCode="General">
                  <c:v>6.4010287334938898</c:v>
                </c:pt>
                <c:pt idx="148" formatCode="General">
                  <c:v>6.4068575810472819</c:v>
                </c:pt>
                <c:pt idx="149" formatCode="General">
                  <c:v>6.4090691280119092</c:v>
                </c:pt>
                <c:pt idx="150" formatCode="General">
                  <c:v>6.4078813678649134</c:v>
                </c:pt>
                <c:pt idx="151" formatCode="General">
                  <c:v>6.4035008208978468</c:v>
                </c:pt>
                <c:pt idx="152" formatCode="General">
                  <c:v>6.396123123992445</c:v>
                </c:pt>
                <c:pt idx="153" formatCode="General">
                  <c:v>6.3859335902153678</c:v>
                </c:pt>
                <c:pt idx="154" formatCode="General">
                  <c:v>6.3731077397751674</c:v>
                </c:pt>
                <c:pt idx="155" formatCode="General">
                  <c:v>6.3578118038050642</c:v>
                </c:pt>
                <c:pt idx="156" formatCode="General">
                  <c:v>6.3402032023621819</c:v>
                </c:pt>
                <c:pt idx="157" formatCode="General">
                  <c:v>6.3204309979600639</c:v>
                </c:pt>
                <c:pt idx="158" formatCode="General">
                  <c:v>6.2986363258865978</c:v>
                </c:pt>
                <c:pt idx="159" formatCode="General">
                  <c:v>6.2749528024941199</c:v>
                </c:pt>
                <c:pt idx="160" formatCode="General">
                  <c:v>6.249506912587675</c:v>
                </c:pt>
                <c:pt idx="161" formatCode="General">
                  <c:v>6.2224183769804222</c:v>
                </c:pt>
                <c:pt idx="162" formatCode="General">
                  <c:v>6.1938005012304602</c:v>
                </c:pt>
                <c:pt idx="163" formatCode="General">
                  <c:v>6.1637605065210392</c:v>
                </c:pt>
                <c:pt idx="164" formatCode="General">
                  <c:v>6.1323998435975939</c:v>
                </c:pt>
                <c:pt idx="165" formatCode="General">
                  <c:v>6.0998144906276304</c:v>
                </c:pt>
                <c:pt idx="166" formatCode="General">
                  <c:v>6.0660952358057854</c:v>
                </c:pt>
                <c:pt idx="167" formatCode="General">
                  <c:v>6.0313279454843425</c:v>
                </c:pt>
                <c:pt idx="168" formatCode="General">
                  <c:v>5.9955938185689917</c:v>
                </c:pt>
                <c:pt idx="169" formatCode="General">
                  <c:v>5.9589696278824924</c:v>
                </c:pt>
                <c:pt idx="170" formatCode="General">
                  <c:v>5.9215279491625266</c:v>
                </c:pt>
                <c:pt idx="171" formatCode="General">
                  <c:v>5.8833373783263294</c:v>
                </c:pt>
                <c:pt idx="172" formatCode="General">
                  <c:v>5.844462737602047</c:v>
                </c:pt>
                <c:pt idx="173" formatCode="General">
                  <c:v>5.8049652710962976</c:v>
                </c:pt>
                <c:pt idx="174" formatCode="General">
                  <c:v>5.7649028303376753</c:v>
                </c:pt>
                <c:pt idx="175" formatCode="General">
                  <c:v>5.7243300503099244</c:v>
                </c:pt>
                <c:pt idx="176" formatCode="General">
                  <c:v>5.683298516460245</c:v>
                </c:pt>
                <c:pt idx="177" formatCode="General">
                  <c:v>5.6418569231445783</c:v>
                </c:pt>
                <c:pt idx="178" formatCode="General">
                  <c:v>5.6000512239481983</c:v>
                </c:pt>
                <c:pt idx="179" formatCode="General">
                  <c:v>5.5579247742968523</c:v>
                </c:pt>
                <c:pt idx="180" formatCode="General">
                  <c:v>5.5155184667528019</c:v>
                </c:pt>
                <c:pt idx="181" formatCode="General">
                  <c:v>5.4728708593699809</c:v>
                </c:pt>
                <c:pt idx="182" formatCode="General">
                  <c:v>5.4300182974635618</c:v>
                </c:pt>
                <c:pt idx="183" formatCode="General">
                  <c:v>5.3869950291303716</c:v>
                </c:pt>
                <c:pt idx="184" formatCode="General">
                  <c:v>5.3438333148403121</c:v>
                </c:pt>
                <c:pt idx="185" formatCode="General">
                  <c:v>5.3005635314017931</c:v>
                </c:pt>
                <c:pt idx="186" formatCode="General">
                  <c:v>5.2572142705889844</c:v>
                </c:pt>
                <c:pt idx="187" formatCode="General">
                  <c:v>5.2138124327043363</c:v>
                </c:pt>
                <c:pt idx="188" formatCode="General">
                  <c:v>5.1703833153351209</c:v>
                </c:pt>
                <c:pt idx="189" formatCode="General">
                  <c:v>5.1269506975500363</c:v>
                </c:pt>
                <c:pt idx="190" formatCode="General">
                  <c:v>5.0835369197693625</c:v>
                </c:pt>
                <c:pt idx="191" formatCode="General">
                  <c:v>5.0401629595297921</c:v>
                </c:pt>
                <c:pt idx="192" formatCode="General">
                  <c:v>4.9968485033541006</c:v>
                </c:pt>
                <c:pt idx="193" formatCode="General">
                  <c:v>4.9536120149251115</c:v>
                </c:pt>
                <c:pt idx="194" formatCode="General">
                  <c:v>4.9104707997530639</c:v>
                </c:pt>
                <c:pt idx="195" formatCode="General">
                  <c:v>4.8674410665155055</c:v>
                </c:pt>
                <c:pt idx="196" formatCode="General">
                  <c:v>4.8245379852406556</c:v>
                </c:pt>
                <c:pt idx="197" formatCode="General">
                  <c:v>4.7817757424952321</c:v>
                </c:pt>
                <c:pt idx="198" formatCode="General">
                  <c:v>4.7391675937303015</c:v>
                </c:pt>
                <c:pt idx="199" formatCode="General">
                  <c:v>4.6967259129308401</c:v>
                </c:pt>
                <c:pt idx="200" formatCode="General">
                  <c:v>4.6544622397066391</c:v>
                </c:pt>
                <c:pt idx="201" formatCode="General">
                  <c:v>4.6123873239557316</c:v>
                </c:pt>
                <c:pt idx="202" formatCode="General">
                  <c:v>4.5705111682248019</c:v>
                </c:pt>
                <c:pt idx="203" formatCode="General">
                  <c:v>4.5288430678842815</c:v>
                </c:pt>
                <c:pt idx="204" formatCode="General">
                  <c:v>4.4873916492302097</c:v>
                </c:pt>
                <c:pt idx="205" formatCode="General">
                  <c:v>4.4461649056185948</c:v>
                </c:pt>
                <c:pt idx="206" formatCode="General">
                  <c:v>4.4051702317338899</c:v>
                </c:pt>
                <c:pt idx="207" formatCode="General">
                  <c:v>4.3644144560862905</c:v>
                </c:pt>
                <c:pt idx="208" formatCode="General">
                  <c:v>4.3239038718289731</c:v>
                </c:pt>
                <c:pt idx="209" formatCode="General">
                  <c:v>4.2836442659815255</c:v>
                </c:pt>
                <c:pt idx="210" formatCode="General">
                  <c:v>4.2436409471408432</c:v>
                </c:pt>
                <c:pt idx="211" formatCode="General">
                  <c:v>4.2038987717571761</c:v>
                </c:pt>
                <c:pt idx="212" formatCode="General">
                  <c:v>4.1644221690489358</c:v>
                </c:pt>
                <c:pt idx="213" formatCode="General">
                  <c:v>4.1252151646259057</c:v>
                </c:pt>
                <c:pt idx="214" formatCode="General">
                  <c:v>4.0862814028870558</c:v>
                </c:pt>
                <c:pt idx="215" formatCode="General">
                  <c:v>4.0476241682559069</c:v>
                </c:pt>
                <c:pt idx="216" formatCode="General">
                  <c:v>4.0092464053127284</c:v>
                </c:pt>
                <c:pt idx="217" formatCode="General">
                  <c:v>3.9711507378807411</c:v>
                </c:pt>
                <c:pt idx="218" formatCode="General">
                  <c:v>3.9333394871192935</c:v>
                </c:pt>
                <c:pt idx="219" formatCode="General">
                  <c:v>3.8958146886752529</c:v>
                </c:pt>
                <c:pt idx="220" formatCode="General">
                  <c:v>3.8585781089410132</c:v>
                </c:pt>
                <c:pt idx="221" formatCode="General">
                  <c:v>3.8216312604647573</c:v>
                </c:pt>
                <c:pt idx="222" formatCode="General">
                  <c:v>3.7849754165566809</c:v>
                </c:pt>
                <c:pt idx="223" formatCode="General">
                  <c:v>3.7486116251322072</c:v>
                </c:pt>
                <c:pt idx="224" formatCode="General">
                  <c:v>3.7125407218314717</c:v>
                </c:pt>
                <c:pt idx="225" formatCode="General">
                  <c:v>3.6767633424523822</c:v>
                </c:pt>
                <c:pt idx="226" formatCode="General">
                  <c:v>3.6412799347321454</c:v>
                </c:pt>
                <c:pt idx="227" formatCode="General">
                  <c:v>3.6060907695110642</c:v>
                </c:pt>
                <c:pt idx="228" formatCode="General">
                  <c:v>3.5711959513102514</c:v>
                </c:pt>
                <c:pt idx="229" formatCode="General">
                  <c:v>3.5365954283532877</c:v>
                </c:pt>
                <c:pt idx="230" formatCode="General">
                  <c:v>3.5022890020602611</c:v>
                </c:pt>
                <c:pt idx="231" formatCode="General">
                  <c:v>3.4682763360417868</c:v>
                </c:pt>
                <c:pt idx="232" formatCode="General">
                  <c:v>3.4345569646183165</c:v>
                </c:pt>
                <c:pt idx="233" formatCode="General">
                  <c:v>3.4011303008891036</c:v>
                </c:pt>
                <c:pt idx="234" formatCode="General">
                  <c:v>3.3679956443743579</c:v>
                </c:pt>
                <c:pt idx="235" formatCode="General">
                  <c:v>3.3351521882522217</c:v>
                </c:pt>
                <c:pt idx="236" formatCode="General">
                  <c:v>3.302599026211622</c:v>
                </c:pt>
                <c:pt idx="237" formatCode="General">
                  <c:v>3.2703351589405658</c:v>
                </c:pt>
                <c:pt idx="238" formatCode="General">
                  <c:v>3.2383595002689081</c:v>
                </c:pt>
                <c:pt idx="239" formatCode="General">
                  <c:v>3.2066708829832291</c:v>
                </c:pt>
                <c:pt idx="240" formatCode="General">
                  <c:v>3.1752680643308082</c:v>
                </c:pt>
                <c:pt idx="241" formatCode="General">
                  <c:v>3.1441497312285107</c:v>
                </c:pt>
                <c:pt idx="242" formatCode="General">
                  <c:v>3.1133145051922142</c:v>
                </c:pt>
                <c:pt idx="243" formatCode="General">
                  <c:v>3.0827609470007529</c:v>
                </c:pt>
                <c:pt idx="244" formatCode="General">
                  <c:v>3.052487561108447</c:v>
                </c:pt>
                <c:pt idx="245" formatCode="General">
                  <c:v>3.0224927998188797</c:v>
                </c:pt>
                <c:pt idx="246" formatCode="General">
                  <c:v>2.9927750672325462</c:v>
                </c:pt>
                <c:pt idx="247" formatCode="General">
                  <c:v>2.9633327229798332</c:v>
                </c:pt>
                <c:pt idx="248" formatCode="General">
                  <c:v>2.9341640857506137</c:v>
                </c:pt>
                <c:pt idx="249" formatCode="General">
                  <c:v>2.9052674366308047</c:v>
                </c:pt>
                <c:pt idx="250" formatCode="General">
                  <c:v>2.8766410222561074</c:v>
                </c:pt>
                <c:pt idx="251" formatCode="General">
                  <c:v>2.8482830577920164</c:v>
                </c:pt>
                <c:pt idx="252" formatCode="General">
                  <c:v>2.8201917297496339</c:v>
                </c:pt>
                <c:pt idx="253" formatCode="General">
                  <c:v>2.7923651986453346</c:v>
                </c:pt>
                <c:pt idx="254" formatCode="General">
                  <c:v>2.7648016015125916</c:v>
                </c:pt>
                <c:pt idx="255" formatCode="General">
                  <c:v>2.737499054273604</c:v>
                </c:pt>
                <c:pt idx="256" formatCode="General">
                  <c:v>2.7104556539781037</c:v>
                </c:pt>
                <c:pt idx="257" formatCode="General">
                  <c:v>2.6836694809160577</c:v>
                </c:pt>
                <c:pt idx="258" formatCode="General">
                  <c:v>2.657138600610975</c:v>
                </c:pt>
                <c:pt idx="259" formatCode="General">
                  <c:v>2.6308610656999938</c:v>
                </c:pt>
                <c:pt idx="260" formatCode="General">
                  <c:v>2.6048349177066017</c:v>
                </c:pt>
                <c:pt idx="261" formatCode="General">
                  <c:v>2.5790581887117288</c:v>
                </c:pt>
                <c:pt idx="262" formatCode="General">
                  <c:v>2.5535289029283241</c:v>
                </c:pt>
                <c:pt idx="263" formatCode="General">
                  <c:v>2.5282450781846202</c:v>
                </c:pt>
                <c:pt idx="264" formatCode="General">
                  <c:v>2.5032047273207976</c:v>
                </c:pt>
                <c:pt idx="265" formatCode="General">
                  <c:v>2.4784058595035274</c:v>
                </c:pt>
                <c:pt idx="266" formatCode="General">
                  <c:v>2.4538464814628185</c:v>
                </c:pt>
                <c:pt idx="267" formatCode="General">
                  <c:v>2.4295245986552345</c:v>
                </c:pt>
                <c:pt idx="268" formatCode="General">
                  <c:v>2.4054382163571262</c:v>
                </c:pt>
                <c:pt idx="269" formatCode="General">
                  <c:v>2.3815853406918794</c:v>
                </c:pt>
                <c:pt idx="270" formatCode="General">
                  <c:v>2.3579639795944569</c:v>
                </c:pt>
                <c:pt idx="271" formatCode="General">
                  <c:v>2.3345721437166476</c:v>
                </c:pt>
                <c:pt idx="272" formatCode="General">
                  <c:v>2.3114078472759187</c:v>
                </c:pt>
                <c:pt idx="273" formatCode="General">
                  <c:v>2.2884691088512716</c:v>
                </c:pt>
                <c:pt idx="274" formatCode="General">
                  <c:v>2.2657539521284993</c:v>
                </c:pt>
                <c:pt idx="275" formatCode="General">
                  <c:v>2.243260406597761</c:v>
                </c:pt>
                <c:pt idx="276" formatCode="General">
                  <c:v>2.2209865082058751</c:v>
                </c:pt>
                <c:pt idx="277" formatCode="General">
                  <c:v>2.1989302999659404</c:v>
                </c:pt>
                <c:pt idx="278" formatCode="General">
                  <c:v>2.1770898325263262</c:v>
                </c:pt>
                <c:pt idx="279" formatCode="General">
                  <c:v>2.1554631647013225</c:v>
                </c:pt>
                <c:pt idx="280" formatCode="General">
                  <c:v>2.1340483639654915</c:v>
                </c:pt>
                <c:pt idx="281" formatCode="General">
                  <c:v>2.1128435069136668</c:v>
                </c:pt>
                <c:pt idx="282" formatCode="General">
                  <c:v>2.0918466796884361</c:v>
                </c:pt>
                <c:pt idx="283" formatCode="General">
                  <c:v>2.071055978376886</c:v>
                </c:pt>
                <c:pt idx="284" formatCode="General">
                  <c:v>2.0504695093782015</c:v>
                </c:pt>
                <c:pt idx="285" formatCode="General">
                  <c:v>2.0300853897438054</c:v>
                </c:pt>
                <c:pt idx="286" formatCode="General">
                  <c:v>2.0099017474913916</c:v>
                </c:pt>
                <c:pt idx="287" formatCode="General">
                  <c:v>1.9899167218943983</c:v>
                </c:pt>
                <c:pt idx="288" formatCode="General">
                  <c:v>1.9701284637482228</c:v>
                </c:pt>
                <c:pt idx="289" formatCode="General">
                  <c:v>1.9505351356143963</c:v>
                </c:pt>
                <c:pt idx="290" formatCode="General">
                  <c:v>1.9311349120439922</c:v>
                </c:pt>
                <c:pt idx="291" formatCode="General">
                  <c:v>1.9119259797814454</c:v>
                </c:pt>
                <c:pt idx="292" formatCode="General">
                  <c:v>1.8929065379496814</c:v>
                </c:pt>
                <c:pt idx="293" formatCode="General">
                  <c:v>1.874074798217874</c:v>
                </c:pt>
                <c:pt idx="294" formatCode="General">
                  <c:v>1.8554289849525478</c:v>
                </c:pt>
                <c:pt idx="295" formatCode="General">
                  <c:v>1.8369673353531002</c:v>
                </c:pt>
                <c:pt idx="296" formatCode="General">
                  <c:v>1.8186880995725443</c:v>
                </c:pt>
                <c:pt idx="297" formatCode="General">
                  <c:v>1.8005895408244121</c:v>
                </c:pt>
                <c:pt idx="298" formatCode="General">
                  <c:v>1.7826699354764637</c:v>
                </c:pt>
                <c:pt idx="299" formatCode="General">
                  <c:v>1.7649275731319742</c:v>
                </c:pt>
                <c:pt idx="300" formatCode="General">
                  <c:v>1.7473607566994607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29-4648-8B15-2B09C6F42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432712"/>
        <c:axId val="785423352"/>
      </c:scatterChart>
      <c:valAx>
        <c:axId val="785432712"/>
        <c:scaling>
          <c:orientation val="minMax"/>
          <c:max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423352"/>
        <c:crosses val="autoZero"/>
        <c:crossBetween val="midCat"/>
      </c:valAx>
      <c:valAx>
        <c:axId val="785423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432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Sheet1!$BA$1</c:f>
              <c:strCache>
                <c:ptCount val="1"/>
                <c:pt idx="0">
                  <c:v>da [deg]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CCC"/>
              </a:solidFill>
              <a:ln w="9525">
                <a:solidFill>
                  <a:srgbClr val="FFCCCC"/>
                </a:solidFill>
              </a:ln>
              <a:effectLst/>
            </c:spPr>
          </c:marker>
          <c:xVal>
            <c:numRef>
              <c:f>Sheet1!$D$2:$D$302</c:f>
              <c:numCache>
                <c:formatCode>General</c:formatCode>
                <c:ptCount val="3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</c:numCache>
            </c:numRef>
          </c:xVal>
          <c:yVal>
            <c:numRef>
              <c:f>Sheet1!$BA$2:$BA$302</c:f>
              <c:numCache>
                <c:formatCode>General</c:formatCode>
                <c:ptCount val="301"/>
                <c:pt idx="0">
                  <c:v>21.5</c:v>
                </c:pt>
                <c:pt idx="1">
                  <c:v>21.5</c:v>
                </c:pt>
                <c:pt idx="2">
                  <c:v>21.5</c:v>
                </c:pt>
                <c:pt idx="3">
                  <c:v>21.5</c:v>
                </c:pt>
                <c:pt idx="4">
                  <c:v>21.5</c:v>
                </c:pt>
                <c:pt idx="5">
                  <c:v>21.5</c:v>
                </c:pt>
                <c:pt idx="6">
                  <c:v>21.5</c:v>
                </c:pt>
                <c:pt idx="7">
                  <c:v>21.5</c:v>
                </c:pt>
                <c:pt idx="8">
                  <c:v>21.5</c:v>
                </c:pt>
                <c:pt idx="9">
                  <c:v>21.5</c:v>
                </c:pt>
                <c:pt idx="10">
                  <c:v>21.5</c:v>
                </c:pt>
                <c:pt idx="11">
                  <c:v>21.5</c:v>
                </c:pt>
                <c:pt idx="12">
                  <c:v>21.5</c:v>
                </c:pt>
                <c:pt idx="13">
                  <c:v>21.5</c:v>
                </c:pt>
                <c:pt idx="14">
                  <c:v>21.5</c:v>
                </c:pt>
                <c:pt idx="15">
                  <c:v>21.5</c:v>
                </c:pt>
                <c:pt idx="16">
                  <c:v>21.5</c:v>
                </c:pt>
                <c:pt idx="17">
                  <c:v>21.5</c:v>
                </c:pt>
                <c:pt idx="18">
                  <c:v>21.5</c:v>
                </c:pt>
                <c:pt idx="19">
                  <c:v>21.5</c:v>
                </c:pt>
                <c:pt idx="20">
                  <c:v>21.5</c:v>
                </c:pt>
                <c:pt idx="21">
                  <c:v>21.5</c:v>
                </c:pt>
                <c:pt idx="22">
                  <c:v>21.5</c:v>
                </c:pt>
                <c:pt idx="23">
                  <c:v>21.5</c:v>
                </c:pt>
                <c:pt idx="24">
                  <c:v>21.5</c:v>
                </c:pt>
                <c:pt idx="25">
                  <c:v>21.5</c:v>
                </c:pt>
                <c:pt idx="26">
                  <c:v>21.5</c:v>
                </c:pt>
                <c:pt idx="27">
                  <c:v>21.5</c:v>
                </c:pt>
                <c:pt idx="28">
                  <c:v>21.5</c:v>
                </c:pt>
                <c:pt idx="29">
                  <c:v>21.5</c:v>
                </c:pt>
                <c:pt idx="30">
                  <c:v>21.5</c:v>
                </c:pt>
                <c:pt idx="31">
                  <c:v>21.5</c:v>
                </c:pt>
                <c:pt idx="32">
                  <c:v>21.5</c:v>
                </c:pt>
                <c:pt idx="33">
                  <c:v>21.5</c:v>
                </c:pt>
                <c:pt idx="34">
                  <c:v>21.5</c:v>
                </c:pt>
                <c:pt idx="35">
                  <c:v>21.5</c:v>
                </c:pt>
                <c:pt idx="36">
                  <c:v>21.5</c:v>
                </c:pt>
                <c:pt idx="37">
                  <c:v>21.5</c:v>
                </c:pt>
                <c:pt idx="38">
                  <c:v>21.5</c:v>
                </c:pt>
                <c:pt idx="39">
                  <c:v>21.5</c:v>
                </c:pt>
                <c:pt idx="40">
                  <c:v>21.5</c:v>
                </c:pt>
                <c:pt idx="41">
                  <c:v>21.5</c:v>
                </c:pt>
                <c:pt idx="42">
                  <c:v>21.5</c:v>
                </c:pt>
                <c:pt idx="43">
                  <c:v>21.5</c:v>
                </c:pt>
                <c:pt idx="44">
                  <c:v>21.5</c:v>
                </c:pt>
                <c:pt idx="45">
                  <c:v>21.5</c:v>
                </c:pt>
                <c:pt idx="46">
                  <c:v>21.5</c:v>
                </c:pt>
                <c:pt idx="47">
                  <c:v>21.5</c:v>
                </c:pt>
                <c:pt idx="48">
                  <c:v>21.5</c:v>
                </c:pt>
                <c:pt idx="49">
                  <c:v>21.5</c:v>
                </c:pt>
                <c:pt idx="50">
                  <c:v>21.5</c:v>
                </c:pt>
                <c:pt idx="51">
                  <c:v>21.5</c:v>
                </c:pt>
                <c:pt idx="52">
                  <c:v>21.5</c:v>
                </c:pt>
                <c:pt idx="53">
                  <c:v>21.5</c:v>
                </c:pt>
                <c:pt idx="54">
                  <c:v>21.5</c:v>
                </c:pt>
                <c:pt idx="55">
                  <c:v>21.5</c:v>
                </c:pt>
                <c:pt idx="56">
                  <c:v>21.5</c:v>
                </c:pt>
                <c:pt idx="57">
                  <c:v>21.5</c:v>
                </c:pt>
                <c:pt idx="58">
                  <c:v>21.5</c:v>
                </c:pt>
                <c:pt idx="59">
                  <c:v>21.5</c:v>
                </c:pt>
                <c:pt idx="60">
                  <c:v>21.5</c:v>
                </c:pt>
                <c:pt idx="61">
                  <c:v>-4.5764618593062432</c:v>
                </c:pt>
                <c:pt idx="62">
                  <c:v>-21.5</c:v>
                </c:pt>
                <c:pt idx="63">
                  <c:v>-21.5</c:v>
                </c:pt>
                <c:pt idx="64">
                  <c:v>-21.5</c:v>
                </c:pt>
                <c:pt idx="65">
                  <c:v>-21.5</c:v>
                </c:pt>
                <c:pt idx="66">
                  <c:v>-21.5</c:v>
                </c:pt>
                <c:pt idx="67">
                  <c:v>-21.5</c:v>
                </c:pt>
                <c:pt idx="68">
                  <c:v>-21.5</c:v>
                </c:pt>
                <c:pt idx="69">
                  <c:v>-20.568207197988411</c:v>
                </c:pt>
                <c:pt idx="70">
                  <c:v>-17.073727912789433</c:v>
                </c:pt>
                <c:pt idx="71">
                  <c:v>-14.875188556359797</c:v>
                </c:pt>
                <c:pt idx="72">
                  <c:v>-14.372896710516729</c:v>
                </c:pt>
                <c:pt idx="73">
                  <c:v>-14.105877182006168</c:v>
                </c:pt>
                <c:pt idx="74">
                  <c:v>-13.454495386423467</c:v>
                </c:pt>
                <c:pt idx="75">
                  <c:v>-12.68010029502258</c:v>
                </c:pt>
                <c:pt idx="76">
                  <c:v>-12.033555798825825</c:v>
                </c:pt>
                <c:pt idx="77">
                  <c:v>-11.493254402761899</c:v>
                </c:pt>
                <c:pt idx="78">
                  <c:v>-10.971927045723975</c:v>
                </c:pt>
                <c:pt idx="79">
                  <c:v>-10.45162526167735</c:v>
                </c:pt>
                <c:pt idx="80">
                  <c:v>-9.9535072646366309</c:v>
                </c:pt>
                <c:pt idx="81">
                  <c:v>-9.4873085410870051</c:v>
                </c:pt>
                <c:pt idx="82">
                  <c:v>-9.0475661883591183</c:v>
                </c:pt>
                <c:pt idx="83">
                  <c:v>-8.6285072148600399</c:v>
                </c:pt>
                <c:pt idx="84">
                  <c:v>-8.2291258619765237</c:v>
                </c:pt>
                <c:pt idx="85">
                  <c:v>-7.8498245446419226</c:v>
                </c:pt>
                <c:pt idx="86">
                  <c:v>-7.4899336249386348</c:v>
                </c:pt>
                <c:pt idx="87">
                  <c:v>-7.1481156276663755</c:v>
                </c:pt>
                <c:pt idx="88">
                  <c:v>-6.8232483925564642</c:v>
                </c:pt>
                <c:pt idx="89">
                  <c:v>-6.5145264094219755</c:v>
                </c:pt>
                <c:pt idx="90">
                  <c:v>-6.2212069590493373</c:v>
                </c:pt>
                <c:pt idx="91">
                  <c:v>-5.9425093399135722</c:v>
                </c:pt>
                <c:pt idx="92">
                  <c:v>-5.6776660339543277</c:v>
                </c:pt>
                <c:pt idx="93">
                  <c:v>-5.4259656110612235</c:v>
                </c:pt>
                <c:pt idx="94">
                  <c:v>-5.1867457863587365</c:v>
                </c:pt>
                <c:pt idx="95">
                  <c:v>-4.9593761326408581</c:v>
                </c:pt>
                <c:pt idx="96">
                  <c:v>-4.7432538661692076</c:v>
                </c:pt>
                <c:pt idx="97">
                  <c:v>-4.537806405035508</c:v>
                </c:pt>
                <c:pt idx="98">
                  <c:v>-4.3424916788145005</c:v>
                </c:pt>
                <c:pt idx="99">
                  <c:v>-4.1567958051923348</c:v>
                </c:pt>
                <c:pt idx="100">
                  <c:v>-3.9802308664227573</c:v>
                </c:pt>
                <c:pt idx="101">
                  <c:v>-3.8123336177927856</c:v>
                </c:pt>
                <c:pt idx="102">
                  <c:v>-3.6526644823146244</c:v>
                </c:pt>
                <c:pt idx="103">
                  <c:v>-3.5008063970096961</c:v>
                </c:pt>
                <c:pt idx="104">
                  <c:v>-3.3563635965950533</c:v>
                </c:pt>
                <c:pt idx="105">
                  <c:v>-3.2189604903594295</c:v>
                </c:pt>
                <c:pt idx="106">
                  <c:v>-3.0882406428159577</c:v>
                </c:pt>
                <c:pt idx="107">
                  <c:v>-2.9638658088376468</c:v>
                </c:pt>
                <c:pt idx="108">
                  <c:v>-2.8455150041508612</c:v>
                </c:pt>
                <c:pt idx="109">
                  <c:v>-2.7328836189307908</c:v>
                </c:pt>
                <c:pt idx="110">
                  <c:v>-2.6256825799531942</c:v>
                </c:pt>
                <c:pt idx="111">
                  <c:v>-2.523637557797112</c:v>
                </c:pt>
                <c:pt idx="112">
                  <c:v>-2.4264882141401136</c:v>
                </c:pt>
                <c:pt idx="113">
                  <c:v>-2.3339874867132759</c:v>
                </c:pt>
                <c:pt idx="114">
                  <c:v>-2.2459009107240382</c:v>
                </c:pt>
                <c:pt idx="115">
                  <c:v>-2.1620059751985483</c:v>
                </c:pt>
                <c:pt idx="116">
                  <c:v>-2.0820915123172306</c:v>
                </c:pt>
                <c:pt idx="117">
                  <c:v>-2.0059571179037996</c:v>
                </c:pt>
                <c:pt idx="118">
                  <c:v>-1.933412601496209</c:v>
                </c:pt>
                <c:pt idx="119">
                  <c:v>-1.864277464535401</c:v>
                </c:pt>
                <c:pt idx="120">
                  <c:v>-1.7983804052351298</c:v>
                </c:pt>
                <c:pt idx="121">
                  <c:v>-1.7355588487607669</c:v>
                </c:pt>
                <c:pt idx="122">
                  <c:v>-1.6756585014196401</c:v>
                </c:pt>
                <c:pt idx="123">
                  <c:v>-1.618532927637701</c:v>
                </c:pt>
                <c:pt idx="124">
                  <c:v>-1.5640431485522326</c:v>
                </c:pt>
                <c:pt idx="125">
                  <c:v>-1.5120572611271323</c:v>
                </c:pt>
                <c:pt idx="126">
                  <c:v>-1.4624500767325459</c:v>
                </c:pt>
                <c:pt idx="127">
                  <c:v>-1.4151027781992878</c:v>
                </c:pt>
                <c:pt idx="128">
                  <c:v>-1.3699025943966621</c:v>
                </c:pt>
                <c:pt idx="129">
                  <c:v>-1.3267424914488253</c:v>
                </c:pt>
                <c:pt idx="130">
                  <c:v>-1.2855208797256725</c:v>
                </c:pt>
                <c:pt idx="131">
                  <c:v>-1.24614133581685</c:v>
                </c:pt>
                <c:pt idx="132">
                  <c:v>-1.2085123387078862</c:v>
                </c:pt>
                <c:pt idx="133">
                  <c:v>-1.1725470194448475</c:v>
                </c:pt>
                <c:pt idx="134">
                  <c:v>-1.13816292359211</c:v>
                </c:pt>
                <c:pt idx="135">
                  <c:v>-1.1052817858292878</c:v>
                </c:pt>
                <c:pt idx="136">
                  <c:v>-1.073829316066633</c:v>
                </c:pt>
                <c:pt idx="137">
                  <c:v>-1.0437349964959732</c:v>
                </c:pt>
                <c:pt idx="138">
                  <c:v>-1.0149318890067318</c:v>
                </c:pt>
                <c:pt idx="139">
                  <c:v>-0.98735645244991332</c:v>
                </c:pt>
                <c:pt idx="140">
                  <c:v>-0.9609483692395614</c:v>
                </c:pt>
                <c:pt idx="141">
                  <c:v>-0.93565038081115093</c:v>
                </c:pt>
                <c:pt idx="142">
                  <c:v>-0.91140813149423383</c:v>
                </c:pt>
                <c:pt idx="143">
                  <c:v>-0.88817002036122905</c:v>
                </c:pt>
                <c:pt idx="144">
                  <c:v>-0.86588706064598264</c:v>
                </c:pt>
                <c:pt idx="145">
                  <c:v>-0.84451274635049078</c:v>
                </c:pt>
                <c:pt idx="146">
                  <c:v>-0.82400292566051503</c:v>
                </c:pt>
                <c:pt idx="147">
                  <c:v>-0.80431568083792127</c:v>
                </c:pt>
                <c:pt idx="148">
                  <c:v>-0.78541121424524718</c:v>
                </c:pt>
                <c:pt idx="149">
                  <c:v>-0.76725174019556608</c:v>
                </c:pt>
                <c:pt idx="150">
                  <c:v>-0.74980138232934468</c:v>
                </c:pt>
                <c:pt idx="151">
                  <c:v>-0.73302607623365157</c:v>
                </c:pt>
                <c:pt idx="152">
                  <c:v>-0.71689347703797901</c:v>
                </c:pt>
                <c:pt idx="153">
                  <c:v>-0.7013728717321519</c:v>
                </c:pt>
                <c:pt idx="154">
                  <c:v>-0.68643509596061247</c:v>
                </c:pt>
                <c:pt idx="155">
                  <c:v>-0.67205245507465405</c:v>
                </c:pt>
                <c:pt idx="156">
                  <c:v>-0.65819864921000271</c:v>
                </c:pt>
                <c:pt idx="157">
                  <c:v>-0.64484870219828394</c:v>
                </c:pt>
                <c:pt idx="158">
                  <c:v>-0.6319788941090676</c:v>
                </c:pt>
                <c:pt idx="159">
                  <c:v>-0.61956669723629387</c:v>
                </c:pt>
                <c:pt idx="160">
                  <c:v>-0.60759071535612919</c:v>
                </c:pt>
                <c:pt idx="161">
                  <c:v>-0.59603062608859769</c:v>
                </c:pt>
                <c:pt idx="162">
                  <c:v>-0.58486712620197412</c:v>
                </c:pt>
                <c:pt idx="163">
                  <c:v>-0.57408187971302027</c:v>
                </c:pt>
                <c:pt idx="164">
                  <c:v>-0.56365746863625121</c:v>
                </c:pt>
                <c:pt idx="165">
                  <c:v>-0.55357734624996935</c:v>
                </c:pt>
                <c:pt idx="166">
                  <c:v>-0.54382579275036513</c:v>
                </c:pt>
                <c:pt idx="167">
                  <c:v>-0.53438787316843805</c:v>
                </c:pt>
                <c:pt idx="168">
                  <c:v>-0.52524939743772159</c:v>
                </c:pt>
                <c:pt idx="169">
                  <c:v>-0.51639688250054783</c:v>
                </c:pt>
                <c:pt idx="170">
                  <c:v>-0.50781751635050576</c:v>
                </c:pt>
                <c:pt idx="171">
                  <c:v>-0.49949912391070944</c:v>
                </c:pt>
                <c:pt idx="172">
                  <c:v>-0.49143013465488011</c:v>
                </c:pt>
                <c:pt idx="173">
                  <c:v>-0.48359955187902431</c:v>
                </c:pt>
                <c:pt idx="174">
                  <c:v>-0.47599692354770679</c:v>
                </c:pt>
                <c:pt idx="175">
                  <c:v>-0.46861231462382225</c:v>
                </c:pt>
                <c:pt idx="176">
                  <c:v>-0.46143628081235666</c:v>
                </c:pt>
                <c:pt idx="177">
                  <c:v>-0.45445984364650427</c:v>
                </c:pt>
                <c:pt idx="178">
                  <c:v>-0.44767446684384715</c:v>
                </c:pt>
                <c:pt idx="179">
                  <c:v>-0.44107203386948535</c:v>
                </c:pt>
                <c:pt idx="180">
                  <c:v>-0.43464482664468185</c:v>
                </c:pt>
                <c:pt idx="181">
                  <c:v>-0.42838550534339381</c:v>
                </c:pt>
                <c:pt idx="182">
                  <c:v>-0.42228708921767555</c:v>
                </c:pt>
                <c:pt idx="183">
                  <c:v>-0.41634293840403419</c:v>
                </c:pt>
                <c:pt idx="184">
                  <c:v>-0.4105467366566084</c:v>
                </c:pt>
                <c:pt idx="185">
                  <c:v>-0.40489247496126596</c:v>
                </c:pt>
                <c:pt idx="186">
                  <c:v>-0.39937443598757943</c:v>
                </c:pt>
                <c:pt idx="187">
                  <c:v>-0.39398717933194649</c:v>
                </c:pt>
                <c:pt idx="188">
                  <c:v>-0.38872552751433909</c:v>
                </c:pt>
                <c:pt idx="189">
                  <c:v>-0.38358455269015579</c:v>
                </c:pt>
                <c:pt idx="190">
                  <c:v>-0.37855956403850216</c:v>
                </c:pt>
                <c:pt idx="191">
                  <c:v>-0.37364609579403996</c:v>
                </c:pt>
                <c:pt idx="192">
                  <c:v>-0.36883989588988164</c:v>
                </c:pt>
                <c:pt idx="193">
                  <c:v>-0.36413691517932023</c:v>
                </c:pt>
                <c:pt idx="194">
                  <c:v>-0.35953329720535909</c:v>
                </c:pt>
                <c:pt idx="195">
                  <c:v>-0.35502536849502653</c:v>
                </c:pt>
                <c:pt idx="196">
                  <c:v>-0.35060962934544881</c:v>
                </c:pt>
                <c:pt idx="197">
                  <c:v>-0.34628274508068357</c:v>
                </c:pt>
                <c:pt idx="198">
                  <c:v>-0.34204153775510926</c:v>
                </c:pt>
                <c:pt idx="199">
                  <c:v>-0.33788297827749386</c:v>
                </c:pt>
                <c:pt idx="200">
                  <c:v>-0.33380417893722586</c:v>
                </c:pt>
                <c:pt idx="201">
                  <c:v>-0.32980238631208436</c:v>
                </c:pt>
                <c:pt idx="202">
                  <c:v>-0.32587497453613706</c:v>
                </c:pt>
                <c:pt idx="203">
                  <c:v>-0.32201943891134177</c:v>
                </c:pt>
                <c:pt idx="204">
                  <c:v>-0.31823338984192007</c:v>
                </c:pt>
                <c:pt idx="205">
                  <c:v>-0.31451454708221621</c:v>
                </c:pt>
                <c:pt idx="206">
                  <c:v>-0.31086073427251332</c:v>
                </c:pt>
                <c:pt idx="207">
                  <c:v>-0.30726987375507331</c:v>
                </c:pt>
                <c:pt idx="208">
                  <c:v>-0.30373998165485838</c:v>
                </c:pt>
                <c:pt idx="209">
                  <c:v>-0.30026916320836822</c:v>
                </c:pt>
                <c:pt idx="210">
                  <c:v>-0.29685560833109809</c:v>
                </c:pt>
                <c:pt idx="211">
                  <c:v>-0.29349758741067655</c:v>
                </c:pt>
                <c:pt idx="212">
                  <c:v>-0.29019344731325575</c:v>
                </c:pt>
                <c:pt idx="213">
                  <c:v>-0.28694160759283444</c:v>
                </c:pt>
                <c:pt idx="214">
                  <c:v>-0.28374055689382144</c:v>
                </c:pt>
                <c:pt idx="215">
                  <c:v>-0.28058884953467778</c:v>
                </c:pt>
                <c:pt idx="216">
                  <c:v>-0.27748510226821338</c:v>
                </c:pt>
                <c:pt idx="217">
                  <c:v>-0.27442799120285777</c:v>
                </c:pt>
                <c:pt idx="218">
                  <c:v>-0.27141624888168636</c:v>
                </c:pt>
                <c:pt idx="219">
                  <c:v>-0.26844866151022989</c:v>
                </c:pt>
                <c:pt idx="220">
                  <c:v>-0.26552406632374176</c:v>
                </c:pt>
                <c:pt idx="221">
                  <c:v>-0.26264134908911391</c:v>
                </c:pt>
                <c:pt idx="222">
                  <c:v>-0.25979944173209718</c:v>
                </c:pt>
                <c:pt idx="223">
                  <c:v>-0.25699732008532883</c:v>
                </c:pt>
                <c:pt idx="224">
                  <c:v>-0.25423400175125394</c:v>
                </c:pt>
                <c:pt idx="225">
                  <c:v>-0.25150854407125561</c:v>
                </c:pt>
                <c:pt idx="226">
                  <c:v>-0.24882004219941872</c:v>
                </c:pt>
                <c:pt idx="227">
                  <c:v>-0.24616762727324987</c:v>
                </c:pt>
                <c:pt idx="228">
                  <c:v>-0.24355046467641053</c:v>
                </c:pt>
                <c:pt idx="229">
                  <c:v>-0.24096775238847695</c:v>
                </c:pt>
                <c:pt idx="230">
                  <c:v>-0.2384187194206239</c:v>
                </c:pt>
                <c:pt idx="231">
                  <c:v>-0.23590262432810474</c:v>
                </c:pt>
                <c:pt idx="232">
                  <c:v>-0.23341875379754451</c:v>
                </c:pt>
                <c:pt idx="233">
                  <c:v>-0.23096642130742545</c:v>
                </c:pt>
                <c:pt idx="234">
                  <c:v>-0.22854496585427475</c:v>
                </c:pt>
                <c:pt idx="235">
                  <c:v>-0.22615375074413185</c:v>
                </c:pt>
                <c:pt idx="236">
                  <c:v>-0.22379216244364927</c:v>
                </c:pt>
                <c:pt idx="237">
                  <c:v>-0.22145960949038379</c:v>
                </c:pt>
                <c:pt idx="238">
                  <c:v>-0.21915552145694212</c:v>
                </c:pt>
                <c:pt idx="239">
                  <c:v>-0.21687934796765854</c:v>
                </c:pt>
                <c:pt idx="240">
                  <c:v>-0.21463055776345918</c:v>
                </c:pt>
                <c:pt idx="241">
                  <c:v>-0.21240863781579461</c:v>
                </c:pt>
                <c:pt idx="242">
                  <c:v>-0.21021309248264775</c:v>
                </c:pt>
                <c:pt idx="243">
                  <c:v>-0.20804344270870703</c:v>
                </c:pt>
                <c:pt idx="244">
                  <c:v>-0.20589922526386706</c:v>
                </c:pt>
                <c:pt idx="245">
                  <c:v>-0.20377999202128219</c:v>
                </c:pt>
                <c:pt idx="246">
                  <c:v>-0.20168530927031764</c:v>
                </c:pt>
                <c:pt idx="247">
                  <c:v>-0.19961475706466922</c:v>
                </c:pt>
                <c:pt idx="248">
                  <c:v>-0.19756792860208688</c:v>
                </c:pt>
                <c:pt idx="249">
                  <c:v>-0.19554442963616131</c:v>
                </c:pt>
                <c:pt idx="250">
                  <c:v>-0.19354387791529629</c:v>
                </c:pt>
                <c:pt idx="251">
                  <c:v>-0.19156590265242446</c:v>
                </c:pt>
                <c:pt idx="252">
                  <c:v>-0.18961014401847054</c:v>
                </c:pt>
                <c:pt idx="253">
                  <c:v>-0.1876762526620557</c:v>
                </c:pt>
                <c:pt idx="254">
                  <c:v>-0.18576388925276213</c:v>
                </c:pt>
                <c:pt idx="255">
                  <c:v>-0.18387272404742602</c:v>
                </c:pt>
                <c:pt idx="256">
                  <c:v>-0.18200243647686284</c:v>
                </c:pt>
                <c:pt idx="257">
                  <c:v>-0.18015271475369216</c:v>
                </c:pt>
                <c:pt idx="258">
                  <c:v>-0.17832325549926006</c:v>
                </c:pt>
                <c:pt idx="259">
                  <c:v>-0.176513763388567</c:v>
                </c:pt>
                <c:pt idx="260">
                  <c:v>-0.17472395081342304</c:v>
                </c:pt>
                <c:pt idx="261">
                  <c:v>-0.1729535375609606</c:v>
                </c:pt>
                <c:pt idx="262">
                  <c:v>-0.17120225050877039</c:v>
                </c:pt>
                <c:pt idx="263">
                  <c:v>-0.16946982333451518</c:v>
                </c:pt>
                <c:pt idx="264">
                  <c:v>-0.16775599623938206</c:v>
                </c:pt>
                <c:pt idx="265">
                  <c:v>-0.16606051568561839</c:v>
                </c:pt>
                <c:pt idx="266">
                  <c:v>-0.164383134146704</c:v>
                </c:pt>
                <c:pt idx="267">
                  <c:v>-0.1627236098684231</c:v>
                </c:pt>
                <c:pt idx="268">
                  <c:v>-0.16108170664315624</c:v>
                </c:pt>
                <c:pt idx="269">
                  <c:v>-0.15945719359397634</c:v>
                </c:pt>
                <c:pt idx="270">
                  <c:v>-0.15784984496968577</c:v>
                </c:pt>
                <c:pt idx="271">
                  <c:v>-0.15625943994838043</c:v>
                </c:pt>
                <c:pt idx="272">
                  <c:v>-0.15468576245265495</c:v>
                </c:pt>
                <c:pt idx="273">
                  <c:v>-0.15312860097140399</c:v>
                </c:pt>
                <c:pt idx="274">
                  <c:v>-0.15158774839130543</c:v>
                </c:pt>
                <c:pt idx="275">
                  <c:v>-0.15006300183557408</c:v>
                </c:pt>
                <c:pt idx="276">
                  <c:v>-0.14855416251141129</c:v>
                </c:pt>
                <c:pt idx="277">
                  <c:v>-0.14706103556333991</c:v>
                </c:pt>
                <c:pt idx="278">
                  <c:v>-0.14558342993405513</c:v>
                </c:pt>
                <c:pt idx="279">
                  <c:v>-0.14412115823174274</c:v>
                </c:pt>
                <c:pt idx="280">
                  <c:v>-0.14267403660353131</c:v>
                </c:pt>
                <c:pt idx="281">
                  <c:v>-0.14124188461476317</c:v>
                </c:pt>
                <c:pt idx="282">
                  <c:v>-0.13982452513397423</c:v>
                </c:pt>
                <c:pt idx="283">
                  <c:v>-0.13842178422281995</c:v>
                </c:pt>
                <c:pt idx="284">
                  <c:v>-0.13703349103157486</c:v>
                </c:pt>
                <c:pt idx="285">
                  <c:v>-0.1356594776987099</c:v>
                </c:pt>
                <c:pt idx="286">
                  <c:v>-0.13429957925563465</c:v>
                </c:pt>
                <c:pt idx="287">
                  <c:v>-0.13295363353561118</c:v>
                </c:pt>
                <c:pt idx="288">
                  <c:v>-0.13162148108637287</c:v>
                </c:pt>
                <c:pt idx="289">
                  <c:v>-0.13030296508707079</c:v>
                </c:pt>
                <c:pt idx="290">
                  <c:v>-0.12899793126903167</c:v>
                </c:pt>
                <c:pt idx="291">
                  <c:v>-0.12770622783907151</c:v>
                </c:pt>
                <c:pt idx="292">
                  <c:v>-0.12642770540765808</c:v>
                </c:pt>
                <c:pt idx="293">
                  <c:v>-0.1251622169189005</c:v>
                </c:pt>
                <c:pt idx="294">
                  <c:v>-0.12390961758431419</c:v>
                </c:pt>
                <c:pt idx="295">
                  <c:v>-0.12266976481908411</c:v>
                </c:pt>
                <c:pt idx="296">
                  <c:v>-0.12144251818161839</c:v>
                </c:pt>
                <c:pt idx="297">
                  <c:v>-0.12022773931492269</c:v>
                </c:pt>
                <c:pt idx="298">
                  <c:v>-0.11902529189058593</c:v>
                </c:pt>
                <c:pt idx="299">
                  <c:v>-0.11783504155592575</c:v>
                </c:pt>
                <c:pt idx="300">
                  <c:v>-0.11665685588252164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AE-4630-95EB-4BEB53ACC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002920"/>
        <c:axId val="794999320"/>
      </c:scatterChart>
      <c:valAx>
        <c:axId val="795002920"/>
        <c:scaling>
          <c:orientation val="minMax"/>
          <c:max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999320"/>
        <c:crosses val="autoZero"/>
        <c:crossBetween val="midCat"/>
      </c:valAx>
      <c:valAx>
        <c:axId val="794999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002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364569</xdr:colOff>
      <xdr:row>18</xdr:row>
      <xdr:rowOff>30563</xdr:rowOff>
    </xdr:from>
    <xdr:to>
      <xdr:col>27</xdr:col>
      <xdr:colOff>523875</xdr:colOff>
      <xdr:row>40</xdr:row>
      <xdr:rowOff>79374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916CC6-A28C-76C0-0762-DDA6EE8537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555775</xdr:colOff>
      <xdr:row>18</xdr:row>
      <xdr:rowOff>141689</xdr:rowOff>
    </xdr:from>
    <xdr:to>
      <xdr:col>36</xdr:col>
      <xdr:colOff>222250</xdr:colOff>
      <xdr:row>40</xdr:row>
      <xdr:rowOff>174624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BE4D8F-E869-4CA5-AEEC-CC33BE5A0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139158</xdr:colOff>
      <xdr:row>33</xdr:row>
      <xdr:rowOff>16166</xdr:rowOff>
    </xdr:from>
    <xdr:to>
      <xdr:col>45</xdr:col>
      <xdr:colOff>133047</xdr:colOff>
      <xdr:row>61</xdr:row>
      <xdr:rowOff>108857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4E913AD-5435-4B6E-98A9-184B52030D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1267506</xdr:colOff>
      <xdr:row>32</xdr:row>
      <xdr:rowOff>107575</xdr:rowOff>
    </xdr:from>
    <xdr:to>
      <xdr:col>54</xdr:col>
      <xdr:colOff>36286</xdr:colOff>
      <xdr:row>53</xdr:row>
      <xdr:rowOff>145142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7403D1F-DCA5-F412-084D-16B5BC512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1329280</xdr:colOff>
      <xdr:row>55</xdr:row>
      <xdr:rowOff>108934</xdr:rowOff>
    </xdr:from>
    <xdr:to>
      <xdr:col>53</xdr:col>
      <xdr:colOff>616856</xdr:colOff>
      <xdr:row>76</xdr:row>
      <xdr:rowOff>120953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4F5459B-21EC-C1E2-00E7-AD67E5F28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43261-3CE5-4DA3-88FE-F218CEBDE213}">
  <dimension ref="A1:BC302"/>
  <sheetViews>
    <sheetView tabSelected="1" topLeftCell="A33" zoomScale="63" zoomScaleNormal="100" workbookViewId="0">
      <pane xSplit="2" topLeftCell="AI1" activePane="topRight" state="frozen"/>
      <selection pane="topRight" activeCell="B52" sqref="B52"/>
    </sheetView>
  </sheetViews>
  <sheetFormatPr defaultRowHeight="14.4" x14ac:dyDescent="0.3"/>
  <cols>
    <col min="1" max="1" width="18.88671875" customWidth="1"/>
    <col min="2" max="2" width="21.88671875" bestFit="1" customWidth="1"/>
    <col min="5" max="5" width="8.88671875" style="4"/>
    <col min="6" max="6" width="9.21875" style="4" bestFit="1" customWidth="1"/>
    <col min="7" max="7" width="16.88671875" style="6" customWidth="1"/>
    <col min="8" max="8" width="11.33203125" style="9" customWidth="1"/>
    <col min="9" max="9" width="9.88671875" style="9" customWidth="1"/>
    <col min="10" max="10" width="20.77734375" style="9" customWidth="1"/>
    <col min="11" max="11" width="10.88671875" style="9" customWidth="1"/>
    <col min="12" max="12" width="11.6640625" style="9" customWidth="1"/>
    <col min="13" max="13" width="10.109375" style="11" customWidth="1"/>
    <col min="14" max="14" width="10.5546875" style="15" customWidth="1"/>
    <col min="15" max="15" width="9.88671875" style="15" customWidth="1"/>
    <col min="16" max="16" width="19" style="15" customWidth="1"/>
    <col min="17" max="17" width="9" style="15" bestFit="1" customWidth="1"/>
    <col min="18" max="18" width="11.6640625" style="15" customWidth="1"/>
    <col min="19" max="19" width="10.109375" style="16" customWidth="1"/>
    <col min="20" max="20" width="18.77734375" style="23" customWidth="1"/>
    <col min="21" max="21" width="13.33203125" bestFit="1" customWidth="1"/>
    <col min="22" max="22" width="14.33203125" bestFit="1" customWidth="1"/>
    <col min="23" max="24" width="14.21875" customWidth="1"/>
    <col min="25" max="25" width="12.6640625" bestFit="1" customWidth="1"/>
    <col min="26" max="26" width="13.77734375" bestFit="1" customWidth="1"/>
    <col min="27" max="27" width="9" bestFit="1" customWidth="1"/>
    <col min="28" max="28" width="12" bestFit="1" customWidth="1"/>
    <col min="29" max="29" width="18.33203125" style="33" customWidth="1"/>
    <col min="30" max="30" width="13.33203125" style="33" bestFit="1" customWidth="1"/>
    <col min="31" max="31" width="14.33203125" style="33" bestFit="1" customWidth="1"/>
    <col min="32" max="33" width="14.21875" style="33" customWidth="1"/>
    <col min="34" max="34" width="9" style="33" bestFit="1" customWidth="1"/>
    <col min="35" max="35" width="13.77734375" style="33" bestFit="1" customWidth="1"/>
    <col min="36" max="36" width="8.88671875" style="33"/>
    <col min="37" max="37" width="11.88671875" style="33" bestFit="1" customWidth="1"/>
    <col min="38" max="38" width="20" style="41" customWidth="1"/>
    <col min="39" max="39" width="13.21875" style="41" bestFit="1" customWidth="1"/>
    <col min="40" max="40" width="14.21875" style="41" bestFit="1" customWidth="1"/>
    <col min="41" max="42" width="14.21875" style="41" customWidth="1"/>
    <col min="43" max="43" width="14" style="41" bestFit="1" customWidth="1"/>
    <col min="44" max="44" width="13.6640625" style="41" customWidth="1"/>
    <col min="45" max="45" width="8.77734375" style="41" customWidth="1"/>
    <col min="46" max="46" width="20.5546875" style="48" customWidth="1"/>
    <col min="47" max="47" width="13.21875" style="48" bestFit="1" customWidth="1"/>
    <col min="48" max="48" width="14.21875" style="48" bestFit="1" customWidth="1"/>
    <col min="49" max="50" width="14.21875" style="48" customWidth="1"/>
    <col min="51" max="51" width="8.88671875" style="48"/>
    <col min="52" max="52" width="13.6640625" style="48" bestFit="1" customWidth="1"/>
    <col min="53" max="53" width="8.88671875" style="48"/>
    <col min="54" max="54" width="11.88671875" style="48" bestFit="1" customWidth="1"/>
    <col min="55" max="55" width="12.6640625" style="41" bestFit="1" customWidth="1"/>
  </cols>
  <sheetData>
    <row r="1" spans="1:55" x14ac:dyDescent="0.3">
      <c r="A1" t="s">
        <v>0</v>
      </c>
      <c r="B1">
        <v>300</v>
      </c>
      <c r="D1" s="1" t="s">
        <v>12</v>
      </c>
      <c r="E1" s="18" t="s">
        <v>18</v>
      </c>
      <c r="F1" s="2" t="s">
        <v>19</v>
      </c>
      <c r="G1" s="3" t="s">
        <v>20</v>
      </c>
      <c r="H1" s="17" t="s">
        <v>22</v>
      </c>
      <c r="I1" s="7" t="s">
        <v>19</v>
      </c>
      <c r="J1" s="8" t="s">
        <v>24</v>
      </c>
      <c r="K1" s="7" t="s">
        <v>16</v>
      </c>
      <c r="L1" s="7" t="s">
        <v>17</v>
      </c>
      <c r="M1" s="10" t="s">
        <v>23</v>
      </c>
      <c r="N1" s="19" t="s">
        <v>22</v>
      </c>
      <c r="O1" s="12" t="s">
        <v>19</v>
      </c>
      <c r="P1" s="13" t="s">
        <v>25</v>
      </c>
      <c r="Q1" s="12" t="s">
        <v>16</v>
      </c>
      <c r="R1" s="12" t="s">
        <v>17</v>
      </c>
      <c r="S1" s="14" t="s">
        <v>23</v>
      </c>
      <c r="T1" s="21" t="s">
        <v>34</v>
      </c>
      <c r="U1" s="20" t="s">
        <v>19</v>
      </c>
      <c r="V1" s="21" t="s">
        <v>26</v>
      </c>
      <c r="W1" s="20" t="s">
        <v>27</v>
      </c>
      <c r="X1" s="20" t="s">
        <v>28</v>
      </c>
      <c r="Y1" s="20" t="s">
        <v>29</v>
      </c>
      <c r="Z1" s="20" t="s">
        <v>17</v>
      </c>
      <c r="AA1" s="20" t="s">
        <v>16</v>
      </c>
      <c r="AB1" s="22" t="s">
        <v>23</v>
      </c>
      <c r="AC1" s="30" t="s">
        <v>35</v>
      </c>
      <c r="AD1" s="31" t="s">
        <v>19</v>
      </c>
      <c r="AE1" s="30" t="s">
        <v>26</v>
      </c>
      <c r="AF1" s="31" t="s">
        <v>27</v>
      </c>
      <c r="AG1" s="31" t="s">
        <v>28</v>
      </c>
      <c r="AH1" s="31" t="s">
        <v>29</v>
      </c>
      <c r="AI1" s="31" t="s">
        <v>17</v>
      </c>
      <c r="AJ1" s="31" t="s">
        <v>16</v>
      </c>
      <c r="AK1" s="32" t="s">
        <v>23</v>
      </c>
      <c r="AL1" s="38" t="s">
        <v>38</v>
      </c>
      <c r="AM1" s="39" t="s">
        <v>45</v>
      </c>
      <c r="AN1" s="38" t="s">
        <v>50</v>
      </c>
      <c r="AO1" s="39" t="s">
        <v>51</v>
      </c>
      <c r="AP1" s="39" t="s">
        <v>52</v>
      </c>
      <c r="AQ1" s="39" t="s">
        <v>53</v>
      </c>
      <c r="AR1" s="39" t="s">
        <v>46</v>
      </c>
      <c r="AS1" s="39" t="s">
        <v>16</v>
      </c>
      <c r="AT1" s="45" t="s">
        <v>47</v>
      </c>
      <c r="AU1" s="46" t="s">
        <v>19</v>
      </c>
      <c r="AV1" s="45" t="s">
        <v>26</v>
      </c>
      <c r="AW1" s="46" t="s">
        <v>27</v>
      </c>
      <c r="AX1" s="46" t="s">
        <v>28</v>
      </c>
      <c r="AY1" s="46" t="s">
        <v>29</v>
      </c>
      <c r="AZ1" s="46" t="s">
        <v>17</v>
      </c>
      <c r="BA1" s="46" t="s">
        <v>16</v>
      </c>
      <c r="BB1" s="47" t="s">
        <v>23</v>
      </c>
      <c r="BC1" s="40" t="s">
        <v>54</v>
      </c>
    </row>
    <row r="2" spans="1:55" x14ac:dyDescent="0.3">
      <c r="A2" t="s">
        <v>1</v>
      </c>
      <c r="B2">
        <v>30</v>
      </c>
      <c r="D2">
        <f>0</f>
        <v>0</v>
      </c>
      <c r="F2" s="5">
        <f>$B$22+($B$13-$B$22)*EXP(-$B$9*D2)</f>
        <v>0</v>
      </c>
      <c r="G2" s="6">
        <f>DEGREES(F2)</f>
        <v>0</v>
      </c>
      <c r="I2" s="9">
        <v>0</v>
      </c>
      <c r="J2" s="9">
        <f>DEGREES(I2)</f>
        <v>0</v>
      </c>
      <c r="K2" s="9">
        <f>$B$19</f>
        <v>-6.0359012715033646</v>
      </c>
      <c r="L2" s="9">
        <f>RADIANS(K2)</f>
        <v>-0.1053463505130459</v>
      </c>
      <c r="M2" s="11">
        <f t="shared" ref="M2:M65" si="0">$B$4*$B$1*$B$2*$B$2*$B$5*$B$6*I2/(4*$B$3) + $B$4*$B$1*$B$2*$B$5*$B$5*$B$7*L2/(2*$B$3)</f>
        <v>1.9434272173709015</v>
      </c>
      <c r="O2" s="15">
        <v>0</v>
      </c>
      <c r="P2" s="15">
        <f>DEGREES(O2)</f>
        <v>0</v>
      </c>
      <c r="Q2" s="15">
        <v>-21.5</v>
      </c>
      <c r="R2" s="15">
        <f>RADIANS(Q2)</f>
        <v>-0.37524578917878088</v>
      </c>
      <c r="S2" s="16">
        <f t="shared" ref="S2:S65" si="1">$B$4*$B$1*$B$2*$B$2*$B$5*$B$6*O2/(4*$B$3) + $B$4*$B$1*$B$2*$B$5*$B$5*$B$7*R2/(2*$B$3)</f>
        <v>6.9225262796697962</v>
      </c>
      <c r="U2" s="23">
        <v>0</v>
      </c>
      <c r="V2" s="23">
        <f>DEGREES(U2)</f>
        <v>0</v>
      </c>
      <c r="W2" s="25">
        <f>$B$17 - U2</f>
        <v>0.87266462599716477</v>
      </c>
      <c r="X2" s="23">
        <v>0</v>
      </c>
      <c r="Y2" s="23">
        <v>0</v>
      </c>
      <c r="Z2" s="26">
        <f>$B$25*W2+$B$26*X2+$B$27*Y2</f>
        <v>-1.7453292519943295</v>
      </c>
      <c r="AA2" s="23">
        <f>DEGREES(Z2)</f>
        <v>-100</v>
      </c>
      <c r="AB2" s="27">
        <f>$B$4*$B$1*$B$2*$B$5^2/2/$B$3*($B$6*U2*$B$2/2/$B$5 + $B$7*Z2)</f>
        <v>32.197796649626959</v>
      </c>
      <c r="AD2" s="33">
        <v>0</v>
      </c>
      <c r="AE2" s="33">
        <f>DEGREES(AD2)</f>
        <v>0</v>
      </c>
      <c r="AF2" s="34">
        <f>$B$17 - AD2</f>
        <v>0.87266462599716477</v>
      </c>
      <c r="AG2" s="33">
        <v>0</v>
      </c>
      <c r="AH2" s="33">
        <v>0</v>
      </c>
      <c r="AI2" s="35">
        <f t="shared" ref="AI2:AI65" si="2">MAX($B$34*AF2+$B$35*AG2+$B$36*AH2,RADIANS(-21.5))</f>
        <v>-0.37524578917878088</v>
      </c>
      <c r="AJ2" s="33">
        <f>DEGREES(AI2)</f>
        <v>-21.5</v>
      </c>
      <c r="AK2" s="36">
        <f>$B$4*$B$1*$B$2*$B$5^2/2/$B$3*($B$6*AD2*$B$2/2/$B$5 + $B$7*AI2)</f>
        <v>6.9225262796697971</v>
      </c>
      <c r="AM2" s="41">
        <f>$B$45</f>
        <v>1.0471975511965976</v>
      </c>
      <c r="AN2" s="41">
        <f>DEGREES(AM2)</f>
        <v>59.999999999999993</v>
      </c>
      <c r="AO2" s="42">
        <f>$B$47 - AM2</f>
        <v>-1.0471975511965976</v>
      </c>
      <c r="AP2" s="41">
        <v>0</v>
      </c>
      <c r="AQ2" s="41">
        <v>0</v>
      </c>
      <c r="AR2" s="43">
        <f t="shared" ref="AR2:AR65" si="3">$B$55*AO2+$B$56*AP2+$B$57*AQ2</f>
        <v>-10.471975511965976</v>
      </c>
      <c r="AS2" s="41">
        <f t="shared" ref="AS2:AS65" si="4">DEGREES(AR2)</f>
        <v>-599.99999999999989</v>
      </c>
      <c r="AU2" s="48">
        <v>0</v>
      </c>
      <c r="AV2" s="48">
        <f>DEGREES(AU2)</f>
        <v>0</v>
      </c>
      <c r="AW2" s="49">
        <f>AR2 - AU2</f>
        <v>-10.471975511965976</v>
      </c>
      <c r="AX2" s="48">
        <v>0</v>
      </c>
      <c r="AY2" s="48">
        <v>0</v>
      </c>
      <c r="AZ2" s="50">
        <f>MIN(MAX($B$50*AW2+$B$51*AX2+$B$52*AY2,RADIANS(-21.5)),RADIANS(21.5))</f>
        <v>0.37524578917878088</v>
      </c>
      <c r="BA2" s="48">
        <f>DEGREES(AZ2)</f>
        <v>21.5</v>
      </c>
      <c r="BB2" s="51">
        <f>$B$4*$B$1*$B$2*$B$5^2/2/$B$3*($B$6*AU2*$B$2/2/$B$5 + $B$7*AZ2)</f>
        <v>-6.9225262796697971</v>
      </c>
      <c r="BC2" s="44">
        <f>AU2</f>
        <v>0</v>
      </c>
    </row>
    <row r="3" spans="1:55" x14ac:dyDescent="0.3">
      <c r="A3" t="s">
        <v>2</v>
      </c>
      <c r="B3">
        <v>9496</v>
      </c>
      <c r="D3">
        <f t="shared" ref="D3:D34" si="5">D2+$B$11</f>
        <v>0.01</v>
      </c>
      <c r="F3" s="5">
        <f t="shared" ref="F3:F7" si="6">$B$22+($B$13-$B$22)*EXP(-$B$9*D3)</f>
        <v>1.9219468723388866E-2</v>
      </c>
      <c r="G3" s="6">
        <f t="shared" ref="G3:G66" si="7">DEGREES(F3)</f>
        <v>1.1011944423338702</v>
      </c>
      <c r="I3" s="9">
        <f t="shared" ref="I3:I66" si="8">I2 + M2*$B$11</f>
        <v>1.9434272173709015E-2</v>
      </c>
      <c r="J3" s="9">
        <f t="shared" ref="J3:J66" si="9">DEGREES(I3)</f>
        <v>1.1135017734620629</v>
      </c>
      <c r="K3" s="9">
        <f t="shared" ref="K3:K66" si="10">$B$19</f>
        <v>-6.0359012715033646</v>
      </c>
      <c r="L3" s="9">
        <f t="shared" ref="L3:L66" si="11">RADIANS(K3)</f>
        <v>-0.1053463505130459</v>
      </c>
      <c r="M3" s="11">
        <f t="shared" si="0"/>
        <v>1.9001470243081626</v>
      </c>
      <c r="O3" s="15">
        <f t="shared" ref="O3:O66" si="12">O2 + S2*$B$11</f>
        <v>6.9225262796697967E-2</v>
      </c>
      <c r="P3" s="15">
        <f t="shared" ref="P3:P66" si="13">DEGREES(O3)</f>
        <v>3.9663153939347873</v>
      </c>
      <c r="Q3" s="15">
        <v>-21.5</v>
      </c>
      <c r="R3" s="15">
        <f t="shared" ref="R3:R66" si="14">RADIANS(Q3)</f>
        <v>-0.37524578917878088</v>
      </c>
      <c r="S3" s="16">
        <f t="shared" si="1"/>
        <v>6.7683613738847948</v>
      </c>
      <c r="U3" s="26">
        <f>U2 + AB2*$B$11</f>
        <v>0.32197796649626959</v>
      </c>
      <c r="V3" s="25">
        <f t="shared" ref="V3:V66" si="15">DEGREES(U3)</f>
        <v>18.447978576440871</v>
      </c>
      <c r="W3" s="23">
        <f t="shared" ref="W3:W66" si="16">$B$17 - U3</f>
        <v>0.55068665950089524</v>
      </c>
      <c r="X3" s="23">
        <f>X2+($B$11*W3)</f>
        <v>5.5068665950089527E-3</v>
      </c>
      <c r="Y3" s="23">
        <f>(W3-W2)/$B$11</f>
        <v>-32.197796649626952</v>
      </c>
      <c r="Z3" s="26">
        <f t="shared" ref="Z3:Z66" si="17">$B$25*W3+$B$26*X3+$B$27*Y3</f>
        <v>-0.95139806894367362</v>
      </c>
      <c r="AA3" s="23">
        <f t="shared" ref="AA3:AA66" si="18">DEGREES(Z3)</f>
        <v>-54.511093987369016</v>
      </c>
      <c r="AB3" s="24">
        <f>$B$4*$B$1*$B$2*$B$2*$B$5*$B$6*U3/(4*$B$3) + $B$4*$B$1*$B$2*$B$5*$B$5*$B$7*Z3/(2*$B$3)</f>
        <v>16.834325120121495</v>
      </c>
      <c r="AD3" s="35">
        <f>AD2 + AK2*$B$11</f>
        <v>6.9225262796697967E-2</v>
      </c>
      <c r="AE3" s="34">
        <f t="shared" ref="AE3:AE66" si="19">DEGREES(AD3)</f>
        <v>3.9663153939347873</v>
      </c>
      <c r="AF3" s="33">
        <f t="shared" ref="AF3:AF66" si="20">$B$17 - AD3</f>
        <v>0.80343936320046683</v>
      </c>
      <c r="AG3" s="33">
        <f>AG2+($B$11*AF3)</f>
        <v>8.0343936320046681E-3</v>
      </c>
      <c r="AH3" s="33">
        <f>(AF3-AF2)/$B$11</f>
        <v>-6.9225262796697935</v>
      </c>
      <c r="AI3" s="35">
        <f t="shared" si="2"/>
        <v>-0.37524578917878088</v>
      </c>
      <c r="AJ3" s="33">
        <f t="shared" ref="AJ3:AJ66" si="21">DEGREES(AI3)</f>
        <v>-21.5</v>
      </c>
      <c r="AK3" s="37">
        <f>$B$4*$B$1*$B$2*$B$2*$B$5*$B$6*AD3/(4*$B$3) + $B$4*$B$1*$B$2*$B$5*$B$5*$B$7*AI3/(2*$B$3)</f>
        <v>6.7683613738847948</v>
      </c>
      <c r="AM3" s="43">
        <f t="shared" ref="AM3:AM66" si="22">AM2 + BC2*$B$11</f>
        <v>1.0471975511965976</v>
      </c>
      <c r="AN3" s="42">
        <f>DEGREES(AM3)</f>
        <v>59.999999999999993</v>
      </c>
      <c r="AO3" s="42">
        <f t="shared" ref="AO3:AO66" si="23">$B$47 - AM3</f>
        <v>-1.0471975511965976</v>
      </c>
      <c r="AP3" s="41">
        <f>AP2+($B$11*AO3)</f>
        <v>-1.0471975511965976E-2</v>
      </c>
      <c r="AQ3" s="41">
        <f>(AO3-AO2)/$B$11</f>
        <v>0</v>
      </c>
      <c r="AR3" s="43">
        <f t="shared" si="3"/>
        <v>-10.471975511965976</v>
      </c>
      <c r="AS3" s="41">
        <f t="shared" si="4"/>
        <v>-599.99999999999989</v>
      </c>
      <c r="AU3" s="50">
        <f>AU2 + BB2*$B$11</f>
        <v>-6.9225262796697967E-2</v>
      </c>
      <c r="AV3" s="49">
        <f t="shared" ref="AV3:AV66" si="24">DEGREES(AU3)</f>
        <v>-3.9663153939347873</v>
      </c>
      <c r="AW3" s="49">
        <f t="shared" ref="AW3:AW66" si="25">AR3 - AU3</f>
        <v>-10.402750249169278</v>
      </c>
      <c r="AX3" s="48">
        <f>AX2+($B$11*AW3)</f>
        <v>-0.10402750249169279</v>
      </c>
      <c r="AY3" s="48">
        <f>(AW3-AW2)/$B$11</f>
        <v>6.9225262796697606</v>
      </c>
      <c r="AZ3" s="50">
        <f t="shared" ref="AZ3:AZ66" si="26">MIN(MAX($B$50*AW3+$B$51*AX3+$B$52*AY3,RADIANS(-21.5)),RADIANS(21.5))</f>
        <v>0.37524578917878088</v>
      </c>
      <c r="BA3" s="48">
        <f t="shared" ref="BA3:BA66" si="27">DEGREES(AZ3)</f>
        <v>21.5</v>
      </c>
      <c r="BB3" s="52">
        <f>$B$4*$B$1*$B$2*$B$2*$B$5*$B$6*AU3/(4*$B$3) + $B$4*$B$1*$B$2*$B$5*$B$5*$B$7*AZ3/(2*$B$3)</f>
        <v>-6.7683613738847948</v>
      </c>
      <c r="BC3" s="44">
        <f t="shared" ref="BC3:BC66" si="28">AU3</f>
        <v>-6.9225262796697967E-2</v>
      </c>
    </row>
    <row r="4" spans="1:55" x14ac:dyDescent="0.3">
      <c r="A4" t="s">
        <v>5</v>
      </c>
      <c r="B4">
        <v>2.37689218E-3</v>
      </c>
      <c r="D4">
        <f t="shared" si="5"/>
        <v>0.02</v>
      </c>
      <c r="F4" s="5">
        <f t="shared" si="6"/>
        <v>3.8015650003921597E-2</v>
      </c>
      <c r="G4" s="6">
        <f t="shared" si="7"/>
        <v>2.1781363006711989</v>
      </c>
      <c r="I4" s="9">
        <f t="shared" si="8"/>
        <v>3.8435742416790639E-2</v>
      </c>
      <c r="J4" s="9">
        <f t="shared" si="9"/>
        <v>2.2022058229340624</v>
      </c>
      <c r="K4" s="9">
        <f t="shared" si="10"/>
        <v>-6.0359012715033646</v>
      </c>
      <c r="L4" s="9">
        <f t="shared" si="11"/>
        <v>-0.1053463505130459</v>
      </c>
      <c r="M4" s="11">
        <f t="shared" si="0"/>
        <v>1.8578306826800468</v>
      </c>
      <c r="O4" s="15">
        <f t="shared" si="12"/>
        <v>0.1369088765355459</v>
      </c>
      <c r="P4" s="15">
        <f t="shared" si="13"/>
        <v>7.8443008033644475</v>
      </c>
      <c r="Q4" s="15">
        <v>-21.5</v>
      </c>
      <c r="R4" s="15">
        <f t="shared" si="14"/>
        <v>-0.37524578917878088</v>
      </c>
      <c r="S4" s="16">
        <f t="shared" si="1"/>
        <v>6.6176297260197385</v>
      </c>
      <c r="U4" s="23">
        <f t="shared" ref="U4:U67" si="29">U3 + AB3*$B$11</f>
        <v>0.49032121769748455</v>
      </c>
      <c r="V4" s="23">
        <f t="shared" si="15"/>
        <v>28.093336379781114</v>
      </c>
      <c r="W4" s="23">
        <f t="shared" si="16"/>
        <v>0.38234340829968022</v>
      </c>
      <c r="X4" s="23">
        <f t="shared" ref="X4:X67" si="30">X3+($B$11*W4)</f>
        <v>9.3303006780057554E-3</v>
      </c>
      <c r="Y4" s="23">
        <f t="shared" ref="Y4:Y67" si="31">(W4-W3)/$B$11</f>
        <v>-16.834325120121502</v>
      </c>
      <c r="Z4" s="26">
        <f t="shared" si="17"/>
        <v>-0.69917579235476446</v>
      </c>
      <c r="AA4" s="23">
        <f t="shared" si="18"/>
        <v>-40.059822039643215</v>
      </c>
      <c r="AB4" s="24">
        <f t="shared" ref="AB4:AB67" si="32">$B$4*$B$1*$B$2*$B$2*$B$5*$B$6*U4/(4*$B$3) + $B$4*$B$1*$B$2*$B$5*$B$5*$B$7*Z4/(2*$B$3)</f>
        <v>11.80643294758231</v>
      </c>
      <c r="AD4" s="33">
        <f t="shared" ref="AD4:AD67" si="33">AD3 + AK3*$B$11</f>
        <v>0.1369088765355459</v>
      </c>
      <c r="AE4" s="33">
        <f t="shared" si="19"/>
        <v>7.8443008033644475</v>
      </c>
      <c r="AF4" s="33">
        <f t="shared" si="20"/>
        <v>0.73575574946161892</v>
      </c>
      <c r="AG4" s="33">
        <f t="shared" ref="AG4:AG67" si="34">AG3+($B$11*AF4)</f>
        <v>1.5391951126620857E-2</v>
      </c>
      <c r="AH4" s="33">
        <f t="shared" ref="AH4:AH67" si="35">(AF4-AF3)/$B$11</f>
        <v>-6.7683613738847903</v>
      </c>
      <c r="AI4" s="35">
        <f t="shared" si="2"/>
        <v>-0.37524578917878088</v>
      </c>
      <c r="AJ4" s="33">
        <f t="shared" si="21"/>
        <v>-21.5</v>
      </c>
      <c r="AK4" s="37">
        <f t="shared" ref="AK4:AK67" si="36">$B$4*$B$1*$B$2*$B$2*$B$5*$B$6*AD4/(4*$B$3) + $B$4*$B$1*$B$2*$B$5*$B$5*$B$7*AI4/(2*$B$3)</f>
        <v>6.6176297260197385</v>
      </c>
      <c r="AM4" s="41">
        <f t="shared" si="22"/>
        <v>1.0465052985686307</v>
      </c>
      <c r="AN4" s="41">
        <f t="shared" ref="AN4:AN66" si="37">DEGREES(AM4)</f>
        <v>59.960336846060649</v>
      </c>
      <c r="AO4" s="42">
        <f t="shared" si="23"/>
        <v>-1.0465052985686307</v>
      </c>
      <c r="AP4" s="41">
        <f t="shared" ref="AP4:AP67" si="38">AP3+($B$11*AO4)</f>
        <v>-2.0937028497652284E-2</v>
      </c>
      <c r="AQ4" s="41">
        <f t="shared" ref="AQ4:AQ67" si="39">(AO4-AO3)/$B$11</f>
        <v>6.9225262796690501E-2</v>
      </c>
      <c r="AR4" s="43">
        <f t="shared" si="3"/>
        <v>-10.395827722889617</v>
      </c>
      <c r="AS4" s="41">
        <f t="shared" si="4"/>
        <v>-595.63705306667214</v>
      </c>
      <c r="AU4" s="48">
        <f t="shared" ref="AU4:AU67" si="40">AU3 + BB3*$B$11</f>
        <v>-0.1369088765355459</v>
      </c>
      <c r="AV4" s="48">
        <f t="shared" si="24"/>
        <v>-7.8443008033644475</v>
      </c>
      <c r="AW4" s="49">
        <f t="shared" si="25"/>
        <v>-10.258918846354071</v>
      </c>
      <c r="AX4" s="48">
        <f t="shared" ref="AX4:AX67" si="41">AX3+($B$11*AW4)</f>
        <v>-0.2066166909552335</v>
      </c>
      <c r="AY4" s="48">
        <f t="shared" ref="AY4:AY67" si="42">(AW4-AW3)/$B$11</f>
        <v>14.383140281520745</v>
      </c>
      <c r="AZ4" s="50">
        <f t="shared" si="26"/>
        <v>0.37524578917878088</v>
      </c>
      <c r="BA4" s="48">
        <f t="shared" si="27"/>
        <v>21.5</v>
      </c>
      <c r="BB4" s="52">
        <f t="shared" ref="BB4:BB67" si="43">$B$4*$B$1*$B$2*$B$2*$B$5*$B$6*AU4/(4*$B$3) + $B$4*$B$1*$B$2*$B$5*$B$5*$B$7*AZ4/(2*$B$3)</f>
        <v>-6.6176297260197385</v>
      </c>
      <c r="BC4" s="44">
        <f t="shared" si="28"/>
        <v>-0.1369088765355459</v>
      </c>
    </row>
    <row r="5" spans="1:55" x14ac:dyDescent="0.3">
      <c r="A5" t="s">
        <v>6</v>
      </c>
      <c r="B5">
        <v>350</v>
      </c>
      <c r="D5">
        <f t="shared" si="5"/>
        <v>0.03</v>
      </c>
      <c r="F5" s="5">
        <f t="shared" si="6"/>
        <v>5.639786627718979E-2</v>
      </c>
      <c r="G5" s="6">
        <f t="shared" si="7"/>
        <v>3.2313597112261672</v>
      </c>
      <c r="I5" s="9">
        <f t="shared" si="8"/>
        <v>5.7014049243591103E-2</v>
      </c>
      <c r="J5" s="9">
        <f t="shared" si="9"/>
        <v>3.2666643946088136</v>
      </c>
      <c r="K5" s="9">
        <f t="shared" si="10"/>
        <v>-6.0359012715033646</v>
      </c>
      <c r="L5" s="9">
        <f t="shared" si="11"/>
        <v>-0.1053463505130459</v>
      </c>
      <c r="M5" s="11">
        <f t="shared" si="0"/>
        <v>1.8164567274809174</v>
      </c>
      <c r="O5" s="15">
        <f t="shared" si="12"/>
        <v>0.20308517379574328</v>
      </c>
      <c r="P5" s="15">
        <f t="shared" si="13"/>
        <v>11.635923340176911</v>
      </c>
      <c r="Q5" s="15">
        <v>-21.5</v>
      </c>
      <c r="R5" s="15">
        <f t="shared" si="14"/>
        <v>-0.37524578917878088</v>
      </c>
      <c r="S5" s="16">
        <f t="shared" si="1"/>
        <v>6.4702548772989736</v>
      </c>
      <c r="U5" s="23">
        <f t="shared" si="29"/>
        <v>0.60838554717330762</v>
      </c>
      <c r="V5" s="23">
        <f t="shared" si="15"/>
        <v>34.857924169787779</v>
      </c>
      <c r="W5" s="23">
        <f t="shared" si="16"/>
        <v>0.26427907882385715</v>
      </c>
      <c r="X5" s="23">
        <f t="shared" si="30"/>
        <v>1.1973091466244326E-2</v>
      </c>
      <c r="Y5" s="23">
        <f t="shared" si="31"/>
        <v>-11.806432947582307</v>
      </c>
      <c r="Z5" s="26">
        <f t="shared" si="17"/>
        <v>-0.49347217584229142</v>
      </c>
      <c r="AA5" s="23">
        <f t="shared" si="18"/>
        <v>-28.273872982900919</v>
      </c>
      <c r="AB5" s="24">
        <f t="shared" si="32"/>
        <v>7.748687356555922</v>
      </c>
      <c r="AD5" s="33">
        <f t="shared" si="33"/>
        <v>0.20308517379574328</v>
      </c>
      <c r="AE5" s="33">
        <f t="shared" si="19"/>
        <v>11.635923340176911</v>
      </c>
      <c r="AF5" s="33">
        <f t="shared" si="20"/>
        <v>0.66957945220142145</v>
      </c>
      <c r="AG5" s="33">
        <f t="shared" si="34"/>
        <v>2.2087745648635072E-2</v>
      </c>
      <c r="AH5" s="33">
        <f t="shared" si="35"/>
        <v>-6.6176297260197465</v>
      </c>
      <c r="AI5" s="35">
        <f t="shared" si="2"/>
        <v>-0.37524578917878088</v>
      </c>
      <c r="AJ5" s="33">
        <f t="shared" si="21"/>
        <v>-21.5</v>
      </c>
      <c r="AK5" s="37">
        <f t="shared" si="36"/>
        <v>6.4702548772989736</v>
      </c>
      <c r="AM5" s="41">
        <f t="shared" si="22"/>
        <v>1.0451362098032753</v>
      </c>
      <c r="AN5" s="41">
        <f t="shared" si="37"/>
        <v>59.881893838027004</v>
      </c>
      <c r="AO5" s="42">
        <f t="shared" si="23"/>
        <v>-1.0451362098032753</v>
      </c>
      <c r="AP5" s="41">
        <f t="shared" si="38"/>
        <v>-3.1388390595685038E-2</v>
      </c>
      <c r="AQ5" s="41">
        <f t="shared" si="39"/>
        <v>0.1369088765355464</v>
      </c>
      <c r="AR5" s="43">
        <f t="shared" si="3"/>
        <v>-10.314453221497207</v>
      </c>
      <c r="AS5" s="41">
        <f t="shared" si="4"/>
        <v>-590.97463757690559</v>
      </c>
      <c r="AU5" s="48">
        <f t="shared" si="40"/>
        <v>-0.20308517379574328</v>
      </c>
      <c r="AV5" s="48">
        <f t="shared" si="24"/>
        <v>-11.635923340176911</v>
      </c>
      <c r="AW5" s="49">
        <f t="shared" si="25"/>
        <v>-10.111368047701463</v>
      </c>
      <c r="AX5" s="48">
        <f t="shared" si="41"/>
        <v>-0.30773037143224813</v>
      </c>
      <c r="AY5" s="48">
        <f t="shared" si="42"/>
        <v>14.75507986526079</v>
      </c>
      <c r="AZ5" s="50">
        <f t="shared" si="26"/>
        <v>0.37524578917878088</v>
      </c>
      <c r="BA5" s="48">
        <f t="shared" si="27"/>
        <v>21.5</v>
      </c>
      <c r="BB5" s="52">
        <f t="shared" si="43"/>
        <v>-6.4702548772989736</v>
      </c>
      <c r="BC5" s="44">
        <f t="shared" si="28"/>
        <v>-0.20308517379574328</v>
      </c>
    </row>
    <row r="6" spans="1:55" x14ac:dyDescent="0.3">
      <c r="A6" t="s">
        <v>3</v>
      </c>
      <c r="B6">
        <v>-0.37659999999999999</v>
      </c>
      <c r="D6">
        <f t="shared" si="5"/>
        <v>0.04</v>
      </c>
      <c r="F6" s="5">
        <f t="shared" si="6"/>
        <v>7.4375234662500067E-2</v>
      </c>
      <c r="G6" s="6">
        <f t="shared" si="7"/>
        <v>4.2613870464563615</v>
      </c>
      <c r="I6" s="9">
        <f t="shared" si="8"/>
        <v>7.5178616518400271E-2</v>
      </c>
      <c r="J6" s="9">
        <f t="shared" si="9"/>
        <v>4.3074174361368307</v>
      </c>
      <c r="K6" s="9">
        <f t="shared" si="10"/>
        <v>-6.0359012715033646</v>
      </c>
      <c r="L6" s="9">
        <f t="shared" si="11"/>
        <v>-0.1053463505130459</v>
      </c>
      <c r="M6" s="11">
        <f t="shared" si="0"/>
        <v>1.7760041717315755</v>
      </c>
      <c r="O6" s="15">
        <f t="shared" si="12"/>
        <v>0.26778772256873301</v>
      </c>
      <c r="P6" s="15">
        <f t="shared" si="13"/>
        <v>15.343106308608586</v>
      </c>
      <c r="Q6" s="15">
        <v>-21.5</v>
      </c>
      <c r="R6" s="15">
        <f t="shared" si="14"/>
        <v>-0.37524578917878088</v>
      </c>
      <c r="S6" s="16">
        <f t="shared" si="1"/>
        <v>6.3261620716864941</v>
      </c>
      <c r="U6" s="23">
        <f t="shared" si="29"/>
        <v>0.68587242073886689</v>
      </c>
      <c r="V6" s="23">
        <f t="shared" si="15"/>
        <v>39.29759499275815</v>
      </c>
      <c r="W6" s="23">
        <f t="shared" si="16"/>
        <v>0.18679220525829787</v>
      </c>
      <c r="X6" s="23">
        <f t="shared" si="30"/>
        <v>1.3841013518827305E-2</v>
      </c>
      <c r="Y6" s="23">
        <f t="shared" si="31"/>
        <v>-7.7486873565559273</v>
      </c>
      <c r="Z6" s="26">
        <f t="shared" si="17"/>
        <v>-0.3625230007714707</v>
      </c>
      <c r="AA6" s="23">
        <f t="shared" si="18"/>
        <v>-20.771037920623158</v>
      </c>
      <c r="AB6" s="24">
        <f t="shared" si="32"/>
        <v>5.1603762379762559</v>
      </c>
      <c r="AD6" s="33">
        <f t="shared" si="33"/>
        <v>0.26778772256873301</v>
      </c>
      <c r="AE6" s="33">
        <f t="shared" si="19"/>
        <v>15.343106308608586</v>
      </c>
      <c r="AF6" s="33">
        <f t="shared" si="20"/>
        <v>0.60487690342843181</v>
      </c>
      <c r="AG6" s="33">
        <f t="shared" si="34"/>
        <v>2.8136514682919389E-2</v>
      </c>
      <c r="AH6" s="33">
        <f t="shared" si="35"/>
        <v>-6.4702548772989639</v>
      </c>
      <c r="AI6" s="35">
        <f t="shared" si="2"/>
        <v>-0.37524578917878088</v>
      </c>
      <c r="AJ6" s="33">
        <f t="shared" si="21"/>
        <v>-21.5</v>
      </c>
      <c r="AK6" s="37">
        <f t="shared" si="36"/>
        <v>6.3261620716864941</v>
      </c>
      <c r="AM6" s="41">
        <f t="shared" si="22"/>
        <v>1.0431053580653178</v>
      </c>
      <c r="AN6" s="41">
        <f t="shared" si="37"/>
        <v>59.765534604625238</v>
      </c>
      <c r="AO6" s="42">
        <f t="shared" si="23"/>
        <v>-1.0431053580653178</v>
      </c>
      <c r="AP6" s="41">
        <f t="shared" si="38"/>
        <v>-4.1819444176338219E-2</v>
      </c>
      <c r="AQ6" s="41">
        <f t="shared" si="39"/>
        <v>0.20308517379574731</v>
      </c>
      <c r="AR6" s="43">
        <f t="shared" si="3"/>
        <v>-10.22796840685743</v>
      </c>
      <c r="AS6" s="41">
        <f t="shared" si="4"/>
        <v>-586.01942270607515</v>
      </c>
      <c r="AU6" s="48">
        <f t="shared" si="40"/>
        <v>-0.26778772256873301</v>
      </c>
      <c r="AV6" s="48">
        <f t="shared" si="24"/>
        <v>-15.343106308608586</v>
      </c>
      <c r="AW6" s="49">
        <f t="shared" si="25"/>
        <v>-9.960180684288698</v>
      </c>
      <c r="AX6" s="48">
        <f t="shared" si="41"/>
        <v>-0.40733217827513513</v>
      </c>
      <c r="AY6" s="48">
        <f t="shared" si="42"/>
        <v>15.118736341276495</v>
      </c>
      <c r="AZ6" s="50">
        <f t="shared" si="26"/>
        <v>0.37524578917878088</v>
      </c>
      <c r="BA6" s="48">
        <f t="shared" si="27"/>
        <v>21.5</v>
      </c>
      <c r="BB6" s="52">
        <f t="shared" si="43"/>
        <v>-6.3261620716864941</v>
      </c>
      <c r="BC6" s="44">
        <f t="shared" si="28"/>
        <v>-0.26778772256873301</v>
      </c>
    </row>
    <row r="7" spans="1:55" x14ac:dyDescent="0.3">
      <c r="A7" t="s">
        <v>4</v>
      </c>
      <c r="B7">
        <v>-0.13370000000000001</v>
      </c>
      <c r="D7">
        <f t="shared" si="5"/>
        <v>0.05</v>
      </c>
      <c r="F7" s="5">
        <f t="shared" si="6"/>
        <v>9.1956671484736408E-2</v>
      </c>
      <c r="G7" s="6">
        <f t="shared" si="7"/>
        <v>5.2687291741464017</v>
      </c>
      <c r="I7" s="9">
        <f t="shared" si="8"/>
        <v>9.2938658235716023E-2</v>
      </c>
      <c r="J7" s="9">
        <f t="shared" si="9"/>
        <v>5.324992870515298</v>
      </c>
      <c r="K7" s="9">
        <f t="shared" si="10"/>
        <v>-6.0359012715033646</v>
      </c>
      <c r="L7" s="9">
        <f t="shared" si="11"/>
        <v>-0.1053463505130459</v>
      </c>
      <c r="M7" s="11">
        <f t="shared" si="0"/>
        <v>1.7364524958335927</v>
      </c>
      <c r="O7" s="15">
        <f t="shared" si="12"/>
        <v>0.33104934328559799</v>
      </c>
      <c r="P7" s="15">
        <f t="shared" si="13"/>
        <v>18.967730180842324</v>
      </c>
      <c r="Q7" s="15">
        <v>-21.5</v>
      </c>
      <c r="R7" s="15">
        <f t="shared" si="14"/>
        <v>-0.37524578917878088</v>
      </c>
      <c r="S7" s="16">
        <f t="shared" si="1"/>
        <v>6.185278217965867</v>
      </c>
      <c r="U7" s="23">
        <f t="shared" si="29"/>
        <v>0.7374761831186295</v>
      </c>
      <c r="V7" s="23">
        <f t="shared" si="15"/>
        <v>42.254272784114519</v>
      </c>
      <c r="W7" s="23">
        <f t="shared" si="16"/>
        <v>0.13518844287853526</v>
      </c>
      <c r="X7" s="23">
        <f t="shared" si="30"/>
        <v>1.5192897947612657E-2</v>
      </c>
      <c r="Y7" s="23">
        <f t="shared" si="31"/>
        <v>-5.1603762379762603</v>
      </c>
      <c r="Z7" s="26">
        <f t="shared" si="17"/>
        <v>-0.27496080046241456</v>
      </c>
      <c r="AA7" s="23">
        <f t="shared" si="18"/>
        <v>-15.754093398035128</v>
      </c>
      <c r="AB7" s="24">
        <f t="shared" si="32"/>
        <v>3.4301088807144025</v>
      </c>
      <c r="AD7" s="33">
        <f t="shared" si="33"/>
        <v>0.33104934328559799</v>
      </c>
      <c r="AE7" s="33">
        <f t="shared" si="19"/>
        <v>18.967730180842324</v>
      </c>
      <c r="AF7" s="33">
        <f t="shared" si="20"/>
        <v>0.54161528271156678</v>
      </c>
      <c r="AG7" s="33">
        <f t="shared" si="34"/>
        <v>3.3552667510035057E-2</v>
      </c>
      <c r="AH7" s="33">
        <f t="shared" si="35"/>
        <v>-6.326162071686503</v>
      </c>
      <c r="AI7" s="35">
        <f t="shared" si="2"/>
        <v>-0.37524578917878088</v>
      </c>
      <c r="AJ7" s="33">
        <f t="shared" si="21"/>
        <v>-21.5</v>
      </c>
      <c r="AK7" s="37">
        <f t="shared" si="36"/>
        <v>6.185278217965867</v>
      </c>
      <c r="AM7" s="41">
        <f t="shared" si="22"/>
        <v>1.0404274808396305</v>
      </c>
      <c r="AN7" s="41">
        <f t="shared" si="37"/>
        <v>59.612103541539156</v>
      </c>
      <c r="AO7" s="42">
        <f t="shared" si="23"/>
        <v>-1.0404274808396305</v>
      </c>
      <c r="AP7" s="41">
        <f t="shared" si="38"/>
        <v>-5.2223718984734525E-2</v>
      </c>
      <c r="AQ7" s="41">
        <f t="shared" si="39"/>
        <v>0.26778772256872418</v>
      </c>
      <c r="AR7" s="43">
        <f t="shared" si="3"/>
        <v>-10.136487085827582</v>
      </c>
      <c r="AS7" s="41">
        <f t="shared" si="4"/>
        <v>-580.77792910678352</v>
      </c>
      <c r="AU7" s="48">
        <f t="shared" si="40"/>
        <v>-0.33104934328559799</v>
      </c>
      <c r="AV7" s="48">
        <f t="shared" si="24"/>
        <v>-18.967730180842324</v>
      </c>
      <c r="AW7" s="49">
        <f t="shared" si="25"/>
        <v>-9.8054377425419847</v>
      </c>
      <c r="AX7" s="48">
        <f t="shared" si="41"/>
        <v>-0.50538655570055502</v>
      </c>
      <c r="AY7" s="48">
        <f t="shared" si="42"/>
        <v>15.474294174671321</v>
      </c>
      <c r="AZ7" s="50">
        <f t="shared" si="26"/>
        <v>0.37524578917878088</v>
      </c>
      <c r="BA7" s="48">
        <f t="shared" si="27"/>
        <v>21.5</v>
      </c>
      <c r="BB7" s="52">
        <f t="shared" si="43"/>
        <v>-6.185278217965867</v>
      </c>
      <c r="BC7" s="44">
        <f t="shared" si="28"/>
        <v>-0.33104934328559799</v>
      </c>
    </row>
    <row r="8" spans="1:55" x14ac:dyDescent="0.3">
      <c r="A8" t="s">
        <v>13</v>
      </c>
      <c r="B8">
        <v>0</v>
      </c>
      <c r="D8">
        <f t="shared" si="5"/>
        <v>6.0000000000000005E-2</v>
      </c>
      <c r="F8" s="5">
        <f t="shared" ref="F8:F66" si="44">$B$22+($B$13-$B$22)*EXP(-$B$9*D8)</f>
        <v>0.10915089669663491</v>
      </c>
      <c r="G8" s="6">
        <f t="shared" si="7"/>
        <v>6.2538857107856201</v>
      </c>
      <c r="I8" s="9">
        <f t="shared" si="8"/>
        <v>0.11030318319405195</v>
      </c>
      <c r="J8" s="9">
        <f t="shared" si="9"/>
        <v>6.3199068638775282</v>
      </c>
      <c r="K8" s="9">
        <f t="shared" si="10"/>
        <v>-6.0359012715033646</v>
      </c>
      <c r="L8" s="9">
        <f t="shared" si="11"/>
        <v>-0.1053463505130459</v>
      </c>
      <c r="M8" s="11">
        <f t="shared" si="0"/>
        <v>1.6977816371607262</v>
      </c>
      <c r="O8" s="15">
        <f t="shared" si="12"/>
        <v>0.39290212546525666</v>
      </c>
      <c r="P8" s="15">
        <f t="shared" si="13"/>
        <v>22.511633550878752</v>
      </c>
      <c r="Q8" s="15">
        <v>-21.5</v>
      </c>
      <c r="R8" s="15">
        <f t="shared" si="14"/>
        <v>-0.37524578917878088</v>
      </c>
      <c r="S8" s="16">
        <f t="shared" si="1"/>
        <v>6.0475318526646422</v>
      </c>
      <c r="U8" s="23">
        <f t="shared" si="29"/>
        <v>0.7717772719257735</v>
      </c>
      <c r="V8" s="23">
        <f t="shared" si="15"/>
        <v>44.219580405467298</v>
      </c>
      <c r="W8" s="23">
        <f t="shared" si="16"/>
        <v>0.10088735407139127</v>
      </c>
      <c r="X8" s="23">
        <f t="shared" si="30"/>
        <v>1.620177148832657E-2</v>
      </c>
      <c r="Y8" s="23">
        <f t="shared" si="31"/>
        <v>-3.4301088807143998</v>
      </c>
      <c r="Z8" s="26">
        <f t="shared" si="17"/>
        <v>-0.21702770671586369</v>
      </c>
      <c r="AA8" s="23">
        <f t="shared" si="18"/>
        <v>-12.434771632222022</v>
      </c>
      <c r="AB8" s="24">
        <f t="shared" si="32"/>
        <v>2.284971761974222</v>
      </c>
      <c r="AD8" s="33">
        <f t="shared" si="33"/>
        <v>0.39290212546525666</v>
      </c>
      <c r="AE8" s="33">
        <f t="shared" si="19"/>
        <v>22.511633550878752</v>
      </c>
      <c r="AF8" s="33">
        <f t="shared" si="20"/>
        <v>0.47976250053190811</v>
      </c>
      <c r="AG8" s="33">
        <f t="shared" si="34"/>
        <v>3.8350292515354135E-2</v>
      </c>
      <c r="AH8" s="33">
        <f t="shared" si="35"/>
        <v>-6.185278217965867</v>
      </c>
      <c r="AI8" s="35">
        <f t="shared" si="2"/>
        <v>-0.37524578917878088</v>
      </c>
      <c r="AJ8" s="33">
        <f t="shared" si="21"/>
        <v>-21.5</v>
      </c>
      <c r="AK8" s="37">
        <f t="shared" si="36"/>
        <v>6.0475318526646422</v>
      </c>
      <c r="AM8" s="41">
        <f t="shared" si="22"/>
        <v>1.0371169874067745</v>
      </c>
      <c r="AN8" s="41">
        <f t="shared" si="37"/>
        <v>59.422426239730726</v>
      </c>
      <c r="AO8" s="42">
        <f t="shared" si="23"/>
        <v>-1.0371169874067745</v>
      </c>
      <c r="AP8" s="41">
        <f t="shared" si="38"/>
        <v>-6.2594888858802267E-2</v>
      </c>
      <c r="AQ8" s="41">
        <f t="shared" si="39"/>
        <v>0.33104934328560542</v>
      </c>
      <c r="AR8" s="43">
        <f t="shared" si="3"/>
        <v>-10.04012053078214</v>
      </c>
      <c r="AS8" s="41">
        <f t="shared" si="4"/>
        <v>-575.25653221646451</v>
      </c>
      <c r="AU8" s="48">
        <f t="shared" si="40"/>
        <v>-0.39290212546525666</v>
      </c>
      <c r="AV8" s="48">
        <f t="shared" si="24"/>
        <v>-22.511633550878752</v>
      </c>
      <c r="AW8" s="49">
        <f t="shared" si="25"/>
        <v>-9.6472184053168828</v>
      </c>
      <c r="AX8" s="48">
        <f t="shared" si="41"/>
        <v>-0.60185873975372384</v>
      </c>
      <c r="AY8" s="48">
        <f t="shared" si="42"/>
        <v>15.821933722510195</v>
      </c>
      <c r="AZ8" s="50">
        <f t="shared" si="26"/>
        <v>0.37524578917878088</v>
      </c>
      <c r="BA8" s="48">
        <f t="shared" si="27"/>
        <v>21.5</v>
      </c>
      <c r="BB8" s="52">
        <f t="shared" si="43"/>
        <v>-6.0475318526646422</v>
      </c>
      <c r="BC8" s="44">
        <f t="shared" si="28"/>
        <v>-0.39290212546525666</v>
      </c>
    </row>
    <row r="9" spans="1:55" x14ac:dyDescent="0.3">
      <c r="A9" t="s">
        <v>14</v>
      </c>
      <c r="B9">
        <f>-B4*B1*B2*B2*B5*B6/(4*B3)</f>
        <v>2.2270035469241254</v>
      </c>
      <c r="D9">
        <f t="shared" si="5"/>
        <v>7.0000000000000007E-2</v>
      </c>
      <c r="F9" s="5">
        <f t="shared" si="44"/>
        <v>0.12596643820366205</v>
      </c>
      <c r="G9" s="6">
        <f t="shared" si="7"/>
        <v>7.2173452693653299</v>
      </c>
      <c r="I9" s="9">
        <f t="shared" si="8"/>
        <v>0.12728099956565922</v>
      </c>
      <c r="J9" s="9">
        <f t="shared" si="9"/>
        <v>7.2926640873187374</v>
      </c>
      <c r="K9" s="9">
        <f t="shared" si="10"/>
        <v>-6.0359012715033646</v>
      </c>
      <c r="L9" s="9">
        <f t="shared" si="11"/>
        <v>-0.1053463505130459</v>
      </c>
      <c r="M9" s="11">
        <f t="shared" si="0"/>
        <v>1.6599719798821304</v>
      </c>
      <c r="O9" s="15">
        <f t="shared" si="12"/>
        <v>0.45337744399190305</v>
      </c>
      <c r="P9" s="15">
        <f t="shared" si="13"/>
        <v>25.976614067164906</v>
      </c>
      <c r="Q9" s="15">
        <v>-21.5</v>
      </c>
      <c r="R9" s="15">
        <f t="shared" si="14"/>
        <v>-0.37524578917878088</v>
      </c>
      <c r="S9" s="16">
        <f t="shared" si="1"/>
        <v>5.9128531038044336</v>
      </c>
      <c r="U9" s="23">
        <f t="shared" si="29"/>
        <v>0.79462698954551569</v>
      </c>
      <c r="V9" s="23">
        <f t="shared" si="15"/>
        <v>45.528772788144238</v>
      </c>
      <c r="W9" s="23">
        <f t="shared" si="16"/>
        <v>7.8037636451649073E-2</v>
      </c>
      <c r="X9" s="23">
        <f t="shared" si="30"/>
        <v>1.698214785284306E-2</v>
      </c>
      <c r="Y9" s="23">
        <f t="shared" si="31"/>
        <v>-2.2849717619742194</v>
      </c>
      <c r="Z9" s="26">
        <f t="shared" si="17"/>
        <v>-0.17861470979911317</v>
      </c>
      <c r="AA9" s="23">
        <f t="shared" si="18"/>
        <v>-10.233869030443174</v>
      </c>
      <c r="AB9" s="24">
        <f t="shared" si="32"/>
        <v>1.5254432156117392</v>
      </c>
      <c r="AD9" s="33">
        <f t="shared" si="33"/>
        <v>0.45337744399190305</v>
      </c>
      <c r="AE9" s="33">
        <f t="shared" si="19"/>
        <v>25.976614067164906</v>
      </c>
      <c r="AF9" s="33">
        <f t="shared" si="20"/>
        <v>0.41928718200526172</v>
      </c>
      <c r="AG9" s="33">
        <f t="shared" si="34"/>
        <v>4.2543164335406752E-2</v>
      </c>
      <c r="AH9" s="33">
        <f t="shared" si="35"/>
        <v>-6.0475318526646396</v>
      </c>
      <c r="AI9" s="35">
        <f t="shared" si="2"/>
        <v>-0.37524578917878088</v>
      </c>
      <c r="AJ9" s="33">
        <f t="shared" si="21"/>
        <v>-21.5</v>
      </c>
      <c r="AK9" s="37">
        <f t="shared" si="36"/>
        <v>5.9128531038044336</v>
      </c>
      <c r="AM9" s="41">
        <f t="shared" si="22"/>
        <v>1.0331879661521219</v>
      </c>
      <c r="AN9" s="41">
        <f t="shared" si="37"/>
        <v>59.197309904221939</v>
      </c>
      <c r="AO9" s="42">
        <f t="shared" si="23"/>
        <v>-1.0331879661521219</v>
      </c>
      <c r="AP9" s="41">
        <f t="shared" si="38"/>
        <v>-7.2926768520323482E-2</v>
      </c>
      <c r="AQ9" s="41">
        <f t="shared" si="39"/>
        <v>0.39290212546525538</v>
      </c>
      <c r="AR9" s="43">
        <f t="shared" si="3"/>
        <v>-9.9389775360559636</v>
      </c>
      <c r="AS9" s="41">
        <f t="shared" si="4"/>
        <v>-569.46146549134073</v>
      </c>
      <c r="AU9" s="48">
        <f t="shared" si="40"/>
        <v>-0.45337744399190305</v>
      </c>
      <c r="AV9" s="48">
        <f t="shared" si="24"/>
        <v>-25.976614067164906</v>
      </c>
      <c r="AW9" s="49">
        <f t="shared" si="25"/>
        <v>-9.4856000920640611</v>
      </c>
      <c r="AX9" s="48">
        <f t="shared" si="41"/>
        <v>-0.69671474067436445</v>
      </c>
      <c r="AY9" s="48">
        <f t="shared" si="42"/>
        <v>16.161831325282172</v>
      </c>
      <c r="AZ9" s="50">
        <f t="shared" si="26"/>
        <v>0.37524578917878088</v>
      </c>
      <c r="BA9" s="48">
        <f t="shared" si="27"/>
        <v>21.5</v>
      </c>
      <c r="BB9" s="52">
        <f t="shared" si="43"/>
        <v>-5.9128531038044336</v>
      </c>
      <c r="BC9" s="44">
        <f t="shared" si="28"/>
        <v>-0.45337744399190305</v>
      </c>
    </row>
    <row r="10" spans="1:55" x14ac:dyDescent="0.3">
      <c r="D10">
        <f t="shared" si="5"/>
        <v>0.08</v>
      </c>
      <c r="F10" s="5">
        <f t="shared" si="44"/>
        <v>0.14241163609364149</v>
      </c>
      <c r="G10" s="6">
        <f t="shared" si="7"/>
        <v>8.1595857017185995</v>
      </c>
      <c r="I10" s="9">
        <f t="shared" si="8"/>
        <v>0.14388071936448052</v>
      </c>
      <c r="J10" s="9">
        <f t="shared" si="9"/>
        <v>8.2437579728909505</v>
      </c>
      <c r="K10" s="9">
        <f t="shared" si="10"/>
        <v>-6.0359012715033646</v>
      </c>
      <c r="L10" s="9">
        <f t="shared" si="11"/>
        <v>-0.1053463505130459</v>
      </c>
      <c r="M10" s="11">
        <f t="shared" si="0"/>
        <v>1.6230043450122087</v>
      </c>
      <c r="O10" s="15">
        <f t="shared" si="12"/>
        <v>0.51250597502994744</v>
      </c>
      <c r="P10" s="15">
        <f t="shared" si="13"/>
        <v>29.364429344453143</v>
      </c>
      <c r="Q10" s="15">
        <v>-21.5</v>
      </c>
      <c r="R10" s="15">
        <f t="shared" si="14"/>
        <v>-0.37524578917878088</v>
      </c>
      <c r="S10" s="16">
        <f t="shared" si="1"/>
        <v>5.7811736554582964</v>
      </c>
      <c r="U10" s="23">
        <f t="shared" si="29"/>
        <v>0.80988142170163313</v>
      </c>
      <c r="V10" s="23">
        <f t="shared" si="15"/>
        <v>46.402787369558418</v>
      </c>
      <c r="W10" s="23">
        <f t="shared" si="16"/>
        <v>6.2783204295531636E-2</v>
      </c>
      <c r="X10" s="23">
        <f t="shared" si="30"/>
        <v>1.7609979895798374E-2</v>
      </c>
      <c r="Y10" s="23">
        <f t="shared" si="31"/>
        <v>-1.5254432156117437</v>
      </c>
      <c r="Z10" s="26">
        <f t="shared" si="17"/>
        <v>-0.15315915230460131</v>
      </c>
      <c r="AA10" s="23">
        <f t="shared" si="18"/>
        <v>-8.7753730208550316</v>
      </c>
      <c r="AB10" s="24">
        <f t="shared" si="32"/>
        <v>1.0218679617836388</v>
      </c>
      <c r="AD10" s="33">
        <f t="shared" si="33"/>
        <v>0.51250597502994744</v>
      </c>
      <c r="AE10" s="33">
        <f t="shared" si="19"/>
        <v>29.364429344453143</v>
      </c>
      <c r="AF10" s="33">
        <f t="shared" si="20"/>
        <v>0.36015865096721733</v>
      </c>
      <c r="AG10" s="33">
        <f t="shared" si="34"/>
        <v>4.6144750845078929E-2</v>
      </c>
      <c r="AH10" s="33">
        <f t="shared" si="35"/>
        <v>-5.9128531038044381</v>
      </c>
      <c r="AI10" s="35">
        <f t="shared" si="2"/>
        <v>-0.37524578917878088</v>
      </c>
      <c r="AJ10" s="33">
        <f t="shared" si="21"/>
        <v>-21.5</v>
      </c>
      <c r="AK10" s="37">
        <f t="shared" si="36"/>
        <v>5.7811736554582964</v>
      </c>
      <c r="AM10" s="41">
        <f t="shared" si="22"/>
        <v>1.028654191712203</v>
      </c>
      <c r="AN10" s="41">
        <f t="shared" si="37"/>
        <v>58.937543763550295</v>
      </c>
      <c r="AO10" s="42">
        <f t="shared" si="23"/>
        <v>-1.028654191712203</v>
      </c>
      <c r="AP10" s="41">
        <f t="shared" si="38"/>
        <v>-8.3213310437445509E-2</v>
      </c>
      <c r="AQ10" s="41">
        <f t="shared" si="39"/>
        <v>0.45337744399189805</v>
      </c>
      <c r="AR10" s="43">
        <f t="shared" si="3"/>
        <v>-9.8331644731301324</v>
      </c>
      <c r="AS10" s="41">
        <f t="shared" si="4"/>
        <v>-563.39882356833834</v>
      </c>
      <c r="AU10" s="48">
        <f t="shared" si="40"/>
        <v>-0.51250597502994744</v>
      </c>
      <c r="AV10" s="48">
        <f t="shared" si="24"/>
        <v>-29.364429344453143</v>
      </c>
      <c r="AW10" s="49">
        <f t="shared" si="25"/>
        <v>-9.320658498100185</v>
      </c>
      <c r="AX10" s="48">
        <f t="shared" si="41"/>
        <v>-0.78992132565536632</v>
      </c>
      <c r="AY10" s="48">
        <f t="shared" si="42"/>
        <v>16.494159396387609</v>
      </c>
      <c r="AZ10" s="50">
        <f t="shared" si="26"/>
        <v>0.37524578917878088</v>
      </c>
      <c r="BA10" s="48">
        <f t="shared" si="27"/>
        <v>21.5</v>
      </c>
      <c r="BB10" s="52">
        <f t="shared" si="43"/>
        <v>-5.7811736554582964</v>
      </c>
      <c r="BC10" s="44">
        <f t="shared" si="28"/>
        <v>-0.51250597502994744</v>
      </c>
    </row>
    <row r="11" spans="1:55" x14ac:dyDescent="0.3">
      <c r="A11" t="s">
        <v>11</v>
      </c>
      <c r="B11">
        <v>0.01</v>
      </c>
      <c r="D11">
        <f t="shared" si="5"/>
        <v>0.09</v>
      </c>
      <c r="F11" s="5">
        <f t="shared" si="44"/>
        <v>0.15849464677323044</v>
      </c>
      <c r="G11" s="6">
        <f t="shared" si="7"/>
        <v>9.0810743355228762</v>
      </c>
      <c r="I11" s="9">
        <f t="shared" si="8"/>
        <v>0.1601107628146026</v>
      </c>
      <c r="J11" s="9">
        <f t="shared" si="9"/>
        <v>9.1736709638968907</v>
      </c>
      <c r="K11" s="9">
        <f t="shared" si="10"/>
        <v>-6.0359012715033646</v>
      </c>
      <c r="L11" s="9">
        <f t="shared" si="11"/>
        <v>-0.1053463505130459</v>
      </c>
      <c r="M11" s="11">
        <f t="shared" si="0"/>
        <v>1.5868599806820542</v>
      </c>
      <c r="O11" s="15">
        <f t="shared" si="12"/>
        <v>0.57031771158453037</v>
      </c>
      <c r="P11" s="15">
        <f t="shared" si="13"/>
        <v>32.67679785535293</v>
      </c>
      <c r="Q11" s="15">
        <v>-21.5</v>
      </c>
      <c r="R11" s="15">
        <f t="shared" si="14"/>
        <v>-0.37524578917878088</v>
      </c>
      <c r="S11" s="16">
        <f t="shared" si="1"/>
        <v>5.6524267130973964</v>
      </c>
      <c r="U11" s="23">
        <f t="shared" si="29"/>
        <v>0.82010010131946953</v>
      </c>
      <c r="V11" s="23">
        <f t="shared" si="15"/>
        <v>46.9882745838568</v>
      </c>
      <c r="W11" s="23">
        <f t="shared" si="16"/>
        <v>5.2564524677695235E-2</v>
      </c>
      <c r="X11" s="23">
        <f t="shared" si="30"/>
        <v>1.8135625142575326E-2</v>
      </c>
      <c r="Y11" s="23">
        <f t="shared" si="31"/>
        <v>-1.0218679617836401</v>
      </c>
      <c r="Z11" s="26">
        <f t="shared" si="17"/>
        <v>-0.13629095983162293</v>
      </c>
      <c r="AA11" s="23">
        <f t="shared" si="18"/>
        <v>-7.8088967841390264</v>
      </c>
      <c r="AB11" s="24">
        <f t="shared" si="32"/>
        <v>0.68792687266504937</v>
      </c>
      <c r="AD11" s="33">
        <f t="shared" si="33"/>
        <v>0.57031771158453037</v>
      </c>
      <c r="AE11" s="33">
        <f t="shared" si="19"/>
        <v>32.67679785535293</v>
      </c>
      <c r="AF11" s="33">
        <f t="shared" si="20"/>
        <v>0.30234691441263439</v>
      </c>
      <c r="AG11" s="33">
        <f t="shared" si="34"/>
        <v>4.9168219989205272E-2</v>
      </c>
      <c r="AH11" s="33">
        <f t="shared" si="35"/>
        <v>-5.7811736554582938</v>
      </c>
      <c r="AI11" s="35">
        <f t="shared" si="2"/>
        <v>-0.37524578917878088</v>
      </c>
      <c r="AJ11" s="33">
        <f t="shared" si="21"/>
        <v>-21.5</v>
      </c>
      <c r="AK11" s="37">
        <f t="shared" si="36"/>
        <v>5.6524267130973964</v>
      </c>
      <c r="AM11" s="41">
        <f t="shared" si="22"/>
        <v>1.0235291319619035</v>
      </c>
      <c r="AN11" s="41">
        <f t="shared" si="37"/>
        <v>58.643899470105765</v>
      </c>
      <c r="AO11" s="42">
        <f t="shared" si="23"/>
        <v>-1.0235291319619035</v>
      </c>
      <c r="AP11" s="41">
        <f t="shared" si="38"/>
        <v>-9.3448601757064542E-2</v>
      </c>
      <c r="AQ11" s="41">
        <f t="shared" si="39"/>
        <v>0.51250597502994211</v>
      </c>
      <c r="AR11" s="43">
        <f t="shared" si="3"/>
        <v>-9.7227853445890933</v>
      </c>
      <c r="AS11" s="41">
        <f t="shared" si="4"/>
        <v>-557.07456535660481</v>
      </c>
      <c r="AU11" s="48">
        <f t="shared" si="40"/>
        <v>-0.57031771158453037</v>
      </c>
      <c r="AV11" s="48">
        <f t="shared" si="24"/>
        <v>-32.67679785535293</v>
      </c>
      <c r="AW11" s="49">
        <f t="shared" si="25"/>
        <v>-9.1524676330045622</v>
      </c>
      <c r="AX11" s="48">
        <f t="shared" si="41"/>
        <v>-0.88144600198541201</v>
      </c>
      <c r="AY11" s="48">
        <f t="shared" si="42"/>
        <v>16.819086509562275</v>
      </c>
      <c r="AZ11" s="50">
        <f t="shared" si="26"/>
        <v>0.37524578917878088</v>
      </c>
      <c r="BA11" s="48">
        <f t="shared" si="27"/>
        <v>21.5</v>
      </c>
      <c r="BB11" s="52">
        <f t="shared" si="43"/>
        <v>-5.6524267130973964</v>
      </c>
      <c r="BC11" s="44">
        <f t="shared" si="28"/>
        <v>-0.57031771158453037</v>
      </c>
    </row>
    <row r="12" spans="1:55" x14ac:dyDescent="0.3">
      <c r="A12" t="s">
        <v>7</v>
      </c>
      <c r="B12">
        <v>0</v>
      </c>
      <c r="D12">
        <f t="shared" si="5"/>
        <v>9.9999999999999992E-2</v>
      </c>
      <c r="F12" s="5">
        <f t="shared" si="44"/>
        <v>0.17422344701329229</v>
      </c>
      <c r="G12" s="6">
        <f t="shared" si="7"/>
        <v>9.9822682060827752</v>
      </c>
      <c r="I12" s="9">
        <f t="shared" si="8"/>
        <v>0.17597936262142314</v>
      </c>
      <c r="J12" s="9">
        <f t="shared" si="9"/>
        <v>10.082874759609821</v>
      </c>
      <c r="K12" s="9">
        <f t="shared" si="10"/>
        <v>-6.0359012715033646</v>
      </c>
      <c r="L12" s="9">
        <f t="shared" si="11"/>
        <v>-0.1053463505130459</v>
      </c>
      <c r="M12" s="11">
        <f t="shared" si="0"/>
        <v>1.5515205526275453</v>
      </c>
      <c r="O12" s="15">
        <f t="shared" si="12"/>
        <v>0.62684197871550429</v>
      </c>
      <c r="P12" s="15">
        <f t="shared" si="13"/>
        <v>35.915399802027778</v>
      </c>
      <c r="Q12" s="15">
        <v>-21.5</v>
      </c>
      <c r="R12" s="15">
        <f t="shared" si="14"/>
        <v>-0.37524578917878088</v>
      </c>
      <c r="S12" s="16">
        <f t="shared" si="1"/>
        <v>5.5265469697094307</v>
      </c>
      <c r="U12" s="23">
        <f t="shared" si="29"/>
        <v>0.82697937004611999</v>
      </c>
      <c r="V12" s="23">
        <f t="shared" si="15"/>
        <v>47.382427648030209</v>
      </c>
      <c r="W12" s="23">
        <f t="shared" si="16"/>
        <v>4.5685255951044779E-2</v>
      </c>
      <c r="X12" s="23">
        <f t="shared" si="30"/>
        <v>1.8592477702085775E-2</v>
      </c>
      <c r="Y12" s="23">
        <f t="shared" si="31"/>
        <v>-0.6879268726650456</v>
      </c>
      <c r="Z12" s="26">
        <f t="shared" si="17"/>
        <v>-0.12511583294293588</v>
      </c>
      <c r="AA12" s="23">
        <f t="shared" si="18"/>
        <v>-7.1686091778940959</v>
      </c>
      <c r="AB12" s="24">
        <f t="shared" si="32"/>
        <v>0.46644821537904813</v>
      </c>
      <c r="AD12" s="33">
        <f t="shared" si="33"/>
        <v>0.62684197871550429</v>
      </c>
      <c r="AE12" s="33">
        <f t="shared" si="19"/>
        <v>35.915399802027778</v>
      </c>
      <c r="AF12" s="33">
        <f t="shared" si="20"/>
        <v>0.24582264728166048</v>
      </c>
      <c r="AG12" s="33">
        <f t="shared" si="34"/>
        <v>5.1626446462021879E-2</v>
      </c>
      <c r="AH12" s="33">
        <f t="shared" si="35"/>
        <v>-5.6524267130973911</v>
      </c>
      <c r="AI12" s="35">
        <f t="shared" si="2"/>
        <v>-0.37524578917878088</v>
      </c>
      <c r="AJ12" s="33">
        <f t="shared" si="21"/>
        <v>-21.5</v>
      </c>
      <c r="AK12" s="37">
        <f t="shared" si="36"/>
        <v>5.5265469697094307</v>
      </c>
      <c r="AM12" s="41">
        <f t="shared" si="22"/>
        <v>1.0178259548460582</v>
      </c>
      <c r="AN12" s="41">
        <f t="shared" si="37"/>
        <v>58.317131491552232</v>
      </c>
      <c r="AO12" s="42">
        <f t="shared" si="23"/>
        <v>-1.0178259548460582</v>
      </c>
      <c r="AP12" s="41">
        <f t="shared" si="38"/>
        <v>-0.10362686130552512</v>
      </c>
      <c r="AQ12" s="41">
        <f t="shared" si="39"/>
        <v>0.5703177115845337</v>
      </c>
      <c r="AR12" s="43">
        <f t="shared" si="3"/>
        <v>-9.6079418368760479</v>
      </c>
      <c r="AS12" s="41">
        <f t="shared" si="4"/>
        <v>-550.49451706016919</v>
      </c>
      <c r="AU12" s="48">
        <f t="shared" si="40"/>
        <v>-0.62684197871550429</v>
      </c>
      <c r="AV12" s="48">
        <f t="shared" si="24"/>
        <v>-35.915399802027778</v>
      </c>
      <c r="AW12" s="49">
        <f t="shared" si="25"/>
        <v>-8.9810998581605439</v>
      </c>
      <c r="AX12" s="48">
        <f t="shared" si="41"/>
        <v>-0.97125700056701747</v>
      </c>
      <c r="AY12" s="48">
        <f t="shared" si="42"/>
        <v>17.136777484401833</v>
      </c>
      <c r="AZ12" s="50">
        <f t="shared" si="26"/>
        <v>0.37524578917878088</v>
      </c>
      <c r="BA12" s="48">
        <f t="shared" si="27"/>
        <v>21.5</v>
      </c>
      <c r="BB12" s="52">
        <f t="shared" si="43"/>
        <v>-5.5265469697094307</v>
      </c>
      <c r="BC12" s="44">
        <f t="shared" si="28"/>
        <v>-0.62684197871550429</v>
      </c>
    </row>
    <row r="13" spans="1:55" x14ac:dyDescent="0.3">
      <c r="A13" t="s">
        <v>8</v>
      </c>
      <c r="B13">
        <f>RADIANS(B12)</f>
        <v>0</v>
      </c>
      <c r="D13">
        <f t="shared" si="5"/>
        <v>0.10999999999999999</v>
      </c>
      <c r="F13" s="5">
        <f t="shared" si="44"/>
        <v>0.18960583790517538</v>
      </c>
      <c r="G13" s="6">
        <f t="shared" si="7"/>
        <v>10.863614283008156</v>
      </c>
      <c r="I13" s="9">
        <f t="shared" si="8"/>
        <v>0.19149456814769858</v>
      </c>
      <c r="J13" s="9">
        <f t="shared" si="9"/>
        <v>10.971830554543455</v>
      </c>
      <c r="K13" s="9">
        <f t="shared" si="10"/>
        <v>-6.0359012715033646</v>
      </c>
      <c r="L13" s="9">
        <f t="shared" si="11"/>
        <v>-0.1053463505130459</v>
      </c>
      <c r="M13" s="11">
        <f t="shared" si="0"/>
        <v>1.516968134889273</v>
      </c>
      <c r="O13" s="15">
        <f t="shared" si="12"/>
        <v>0.68210744841259863</v>
      </c>
      <c r="P13" s="15">
        <f t="shared" si="13"/>
        <v>39.081877968479425</v>
      </c>
      <c r="Q13" s="15">
        <v>-21.5</v>
      </c>
      <c r="R13" s="15">
        <f t="shared" si="14"/>
        <v>-0.37524578917878088</v>
      </c>
      <c r="S13" s="16">
        <f t="shared" si="1"/>
        <v>5.4034705726715746</v>
      </c>
      <c r="U13" s="23">
        <f t="shared" si="29"/>
        <v>0.83164385219991044</v>
      </c>
      <c r="V13" s="23">
        <f t="shared" si="15"/>
        <v>47.649682789056492</v>
      </c>
      <c r="W13" s="23">
        <f t="shared" si="16"/>
        <v>4.1020773797254328E-2</v>
      </c>
      <c r="X13" s="23">
        <f t="shared" si="30"/>
        <v>1.9002685440058318E-2</v>
      </c>
      <c r="Y13" s="23">
        <f t="shared" si="31"/>
        <v>-0.46644821537904502</v>
      </c>
      <c r="Z13" s="26">
        <f t="shared" si="17"/>
        <v>-0.11771467739773006</v>
      </c>
      <c r="AA13" s="23">
        <f t="shared" si="18"/>
        <v>-6.7445542016339566</v>
      </c>
      <c r="AB13" s="24">
        <f t="shared" si="32"/>
        <v>0.31952403813912844</v>
      </c>
      <c r="AD13" s="33">
        <f t="shared" si="33"/>
        <v>0.68210744841259863</v>
      </c>
      <c r="AE13" s="33">
        <f t="shared" si="19"/>
        <v>39.081877968479425</v>
      </c>
      <c r="AF13" s="33">
        <f t="shared" si="20"/>
        <v>0.19055717758456614</v>
      </c>
      <c r="AG13" s="33">
        <f t="shared" si="34"/>
        <v>5.3532018237867539E-2</v>
      </c>
      <c r="AH13" s="33">
        <f t="shared" si="35"/>
        <v>-5.5265469697094334</v>
      </c>
      <c r="AI13" s="35">
        <f t="shared" si="2"/>
        <v>-0.37524578917878088</v>
      </c>
      <c r="AJ13" s="33">
        <f t="shared" si="21"/>
        <v>-21.5</v>
      </c>
      <c r="AK13" s="37">
        <f t="shared" si="36"/>
        <v>5.4034705726715746</v>
      </c>
      <c r="AM13" s="41">
        <f t="shared" si="22"/>
        <v>1.0115575350589032</v>
      </c>
      <c r="AN13" s="41">
        <f t="shared" si="37"/>
        <v>57.957977493531963</v>
      </c>
      <c r="AO13" s="42">
        <f t="shared" si="23"/>
        <v>-1.0115575350589032</v>
      </c>
      <c r="AP13" s="41">
        <f t="shared" si="38"/>
        <v>-0.11374243665611415</v>
      </c>
      <c r="AQ13" s="41">
        <f t="shared" si="39"/>
        <v>0.62684197871549774</v>
      </c>
      <c r="AR13" s="43">
        <f t="shared" si="3"/>
        <v>-9.4887333718735363</v>
      </c>
      <c r="AS13" s="41">
        <f t="shared" si="4"/>
        <v>-543.66437513329231</v>
      </c>
      <c r="AU13" s="48">
        <f t="shared" si="40"/>
        <v>-0.68210744841259863</v>
      </c>
      <c r="AV13" s="48">
        <f t="shared" si="24"/>
        <v>-39.081877968479425</v>
      </c>
      <c r="AW13" s="49">
        <f t="shared" si="25"/>
        <v>-8.8066259234609383</v>
      </c>
      <c r="AX13" s="48">
        <f t="shared" si="41"/>
        <v>-1.0593232598016269</v>
      </c>
      <c r="AY13" s="48">
        <f t="shared" si="42"/>
        <v>17.447393469960559</v>
      </c>
      <c r="AZ13" s="50">
        <f t="shared" si="26"/>
        <v>0.37524578917878088</v>
      </c>
      <c r="BA13" s="48">
        <f t="shared" si="27"/>
        <v>21.5</v>
      </c>
      <c r="BB13" s="52">
        <f t="shared" si="43"/>
        <v>-5.4034705726715746</v>
      </c>
      <c r="BC13" s="44">
        <f t="shared" si="28"/>
        <v>-0.68210744841259863</v>
      </c>
    </row>
    <row r="14" spans="1:55" x14ac:dyDescent="0.3">
      <c r="A14" t="s">
        <v>15</v>
      </c>
      <c r="B14">
        <f>B13*B2/(2*B5)</f>
        <v>0</v>
      </c>
      <c r="D14">
        <f t="shared" si="5"/>
        <v>0.11999999999999998</v>
      </c>
      <c r="F14" s="5">
        <f t="shared" si="44"/>
        <v>0.20464944872985946</v>
      </c>
      <c r="G14" s="6">
        <f t="shared" si="7"/>
        <v>11.725549691899873</v>
      </c>
      <c r="I14" s="9">
        <f t="shared" si="8"/>
        <v>0.20666424949659132</v>
      </c>
      <c r="J14" s="9">
        <f t="shared" si="9"/>
        <v>11.840989272393331</v>
      </c>
      <c r="K14" s="9">
        <f t="shared" si="10"/>
        <v>-6.0359012715033646</v>
      </c>
      <c r="L14" s="9">
        <f t="shared" si="11"/>
        <v>-0.1053463505130459</v>
      </c>
      <c r="M14" s="11">
        <f t="shared" si="0"/>
        <v>1.4831852007195803</v>
      </c>
      <c r="O14" s="15">
        <f t="shared" si="12"/>
        <v>0.73614215413931439</v>
      </c>
      <c r="P14" s="15">
        <f t="shared" si="13"/>
        <v>42.177838553851622</v>
      </c>
      <c r="Q14" s="15">
        <v>-21.5</v>
      </c>
      <c r="R14" s="15">
        <f t="shared" si="14"/>
        <v>-0.37524578917878088</v>
      </c>
      <c r="S14" s="16">
        <f t="shared" si="1"/>
        <v>5.2831350913611761</v>
      </c>
      <c r="U14" s="23">
        <f t="shared" si="29"/>
        <v>0.83483909258130173</v>
      </c>
      <c r="V14" s="23">
        <f t="shared" si="15"/>
        <v>47.832756577439987</v>
      </c>
      <c r="W14" s="23">
        <f t="shared" si="16"/>
        <v>3.7825533415863033E-2</v>
      </c>
      <c r="X14" s="23">
        <f t="shared" si="30"/>
        <v>1.9380940774216947E-2</v>
      </c>
      <c r="Y14" s="23">
        <f t="shared" si="31"/>
        <v>-0.31952403813912955</v>
      </c>
      <c r="Z14" s="26">
        <f t="shared" si="17"/>
        <v>-0.11281532818946431</v>
      </c>
      <c r="AA14" s="23">
        <f t="shared" si="18"/>
        <v>-6.4638421696395678</v>
      </c>
      <c r="AB14" s="24">
        <f t="shared" si="32"/>
        <v>0.22202513724390593</v>
      </c>
      <c r="AD14" s="33">
        <f t="shared" si="33"/>
        <v>0.73614215413931439</v>
      </c>
      <c r="AE14" s="33">
        <f t="shared" si="19"/>
        <v>42.177838553851622</v>
      </c>
      <c r="AF14" s="33">
        <f t="shared" si="20"/>
        <v>0.13652247185785038</v>
      </c>
      <c r="AG14" s="33">
        <f t="shared" si="34"/>
        <v>5.4897242956446039E-2</v>
      </c>
      <c r="AH14" s="33">
        <f t="shared" si="35"/>
        <v>-5.4034705726715755</v>
      </c>
      <c r="AI14" s="35">
        <f t="shared" si="2"/>
        <v>-0.35582207676523497</v>
      </c>
      <c r="AJ14" s="33">
        <f t="shared" si="21"/>
        <v>-20.387103256227956</v>
      </c>
      <c r="AK14" s="37">
        <f t="shared" si="36"/>
        <v>4.9248068608811337</v>
      </c>
      <c r="AM14" s="41">
        <f t="shared" si="22"/>
        <v>1.0047364605747773</v>
      </c>
      <c r="AN14" s="41">
        <f t="shared" si="37"/>
        <v>57.567158713847171</v>
      </c>
      <c r="AO14" s="42">
        <f t="shared" si="23"/>
        <v>-1.0047364605747773</v>
      </c>
      <c r="AP14" s="41">
        <f t="shared" si="38"/>
        <v>-0.12378980126186193</v>
      </c>
      <c r="AQ14" s="41">
        <f t="shared" si="39"/>
        <v>0.68210744841259441</v>
      </c>
      <c r="AR14" s="43">
        <f t="shared" si="3"/>
        <v>-9.3652571573351793</v>
      </c>
      <c r="AS14" s="41">
        <f t="shared" si="4"/>
        <v>-536.5897091699926</v>
      </c>
      <c r="AU14" s="48">
        <f t="shared" si="40"/>
        <v>-0.73614215413931439</v>
      </c>
      <c r="AV14" s="48">
        <f t="shared" si="24"/>
        <v>-42.177838553851622</v>
      </c>
      <c r="AW14" s="49">
        <f t="shared" si="25"/>
        <v>-8.6291150031958654</v>
      </c>
      <c r="AX14" s="48">
        <f t="shared" si="41"/>
        <v>-1.1456144098335856</v>
      </c>
      <c r="AY14" s="48">
        <f t="shared" si="42"/>
        <v>17.751092026507287</v>
      </c>
      <c r="AZ14" s="50">
        <f t="shared" si="26"/>
        <v>0.37524578917878088</v>
      </c>
      <c r="BA14" s="48">
        <f t="shared" si="27"/>
        <v>21.5</v>
      </c>
      <c r="BB14" s="52">
        <f t="shared" si="43"/>
        <v>-5.2831350913611761</v>
      </c>
      <c r="BC14" s="44">
        <f t="shared" si="28"/>
        <v>-0.73614215413931439</v>
      </c>
    </row>
    <row r="15" spans="1:55" x14ac:dyDescent="0.3">
      <c r="D15">
        <f t="shared" si="5"/>
        <v>0.12999999999999998</v>
      </c>
      <c r="F15" s="5">
        <f t="shared" si="44"/>
        <v>0.21936174074188797</v>
      </c>
      <c r="G15" s="6">
        <f t="shared" si="7"/>
        <v>12.56850193115314</v>
      </c>
      <c r="I15" s="9">
        <f t="shared" si="8"/>
        <v>0.22149610150378712</v>
      </c>
      <c r="J15" s="9">
        <f t="shared" si="9"/>
        <v>12.690791794768289</v>
      </c>
      <c r="K15" s="9">
        <f t="shared" si="10"/>
        <v>-6.0359012715033646</v>
      </c>
      <c r="L15" s="9">
        <f t="shared" si="11"/>
        <v>-0.1053463505130459</v>
      </c>
      <c r="M15" s="11">
        <f t="shared" si="0"/>
        <v>1.4501546136921015</v>
      </c>
      <c r="O15" s="15">
        <f t="shared" si="12"/>
        <v>0.78897350505292618</v>
      </c>
      <c r="P15" s="15">
        <f t="shared" si="13"/>
        <v>45.204851987176198</v>
      </c>
      <c r="Q15" s="15">
        <v>-21.5</v>
      </c>
      <c r="R15" s="15">
        <f t="shared" si="14"/>
        <v>-0.37524578917878088</v>
      </c>
      <c r="S15" s="16">
        <f t="shared" si="1"/>
        <v>5.1654794854877704</v>
      </c>
      <c r="U15" s="23">
        <f t="shared" si="29"/>
        <v>0.83705934395374082</v>
      </c>
      <c r="V15" s="23">
        <f t="shared" si="15"/>
        <v>47.959967610538875</v>
      </c>
      <c r="W15" s="23">
        <f t="shared" si="16"/>
        <v>3.5605282043423947E-2</v>
      </c>
      <c r="X15" s="23">
        <f t="shared" si="30"/>
        <v>1.9736993594651187E-2</v>
      </c>
      <c r="Y15" s="23">
        <f t="shared" si="31"/>
        <v>-0.2220251372439086</v>
      </c>
      <c r="Z15" s="26">
        <f t="shared" si="17"/>
        <v>-0.10957442558993072</v>
      </c>
      <c r="AA15" s="23">
        <f t="shared" si="18"/>
        <v>-6.278152128873316</v>
      </c>
      <c r="AB15" s="24">
        <f t="shared" si="32"/>
        <v>0.15729252783789383</v>
      </c>
      <c r="AD15" s="33">
        <f t="shared" si="33"/>
        <v>0.78539022274812575</v>
      </c>
      <c r="AE15" s="33">
        <f t="shared" si="19"/>
        <v>44.999545034307225</v>
      </c>
      <c r="AF15" s="33">
        <f t="shared" si="20"/>
        <v>8.7274403249039012E-2</v>
      </c>
      <c r="AG15" s="33">
        <f t="shared" si="34"/>
        <v>5.5769986988936426E-2</v>
      </c>
      <c r="AH15" s="33">
        <f t="shared" si="35"/>
        <v>-4.9248068608811364</v>
      </c>
      <c r="AI15" s="35">
        <f t="shared" si="2"/>
        <v>-0.26146474617154519</v>
      </c>
      <c r="AJ15" s="33">
        <f t="shared" si="21"/>
        <v>-14.980826447088889</v>
      </c>
      <c r="AK15" s="37">
        <f t="shared" si="36"/>
        <v>3.0744292240876101</v>
      </c>
      <c r="AM15" s="41">
        <f t="shared" si="22"/>
        <v>0.99737503903338409</v>
      </c>
      <c r="AN15" s="41">
        <f t="shared" si="37"/>
        <v>57.145380328308647</v>
      </c>
      <c r="AO15" s="42">
        <f t="shared" si="23"/>
        <v>-0.99737503903338409</v>
      </c>
      <c r="AP15" s="41">
        <f t="shared" si="38"/>
        <v>-0.13376355165219578</v>
      </c>
      <c r="AQ15" s="41">
        <f t="shared" si="39"/>
        <v>0.73614215413931872</v>
      </c>
      <c r="AR15" s="43">
        <f t="shared" si="3"/>
        <v>-9.2376082361945215</v>
      </c>
      <c r="AS15" s="41">
        <f t="shared" si="4"/>
        <v>-529.2759647292346</v>
      </c>
      <c r="AU15" s="48">
        <f t="shared" si="40"/>
        <v>-0.78897350505292618</v>
      </c>
      <c r="AV15" s="48">
        <f t="shared" si="24"/>
        <v>-45.204851987176198</v>
      </c>
      <c r="AW15" s="49">
        <f t="shared" si="25"/>
        <v>-8.4486347311415955</v>
      </c>
      <c r="AX15" s="48">
        <f t="shared" si="41"/>
        <v>-1.2301007571450016</v>
      </c>
      <c r="AY15" s="48">
        <f t="shared" si="42"/>
        <v>18.048027205426997</v>
      </c>
      <c r="AZ15" s="50">
        <f t="shared" si="26"/>
        <v>0.37524578917878088</v>
      </c>
      <c r="BA15" s="48">
        <f t="shared" si="27"/>
        <v>21.5</v>
      </c>
      <c r="BB15" s="52">
        <f t="shared" si="43"/>
        <v>-5.1654794854877704</v>
      </c>
      <c r="BC15" s="44">
        <f t="shared" si="28"/>
        <v>-0.78897350505292618</v>
      </c>
    </row>
    <row r="16" spans="1:55" x14ac:dyDescent="0.3">
      <c r="A16" t="s">
        <v>9</v>
      </c>
      <c r="B16">
        <v>50</v>
      </c>
      <c r="D16">
        <f t="shared" si="5"/>
        <v>0.13999999999999999</v>
      </c>
      <c r="F16" s="5">
        <f t="shared" si="44"/>
        <v>0.23375001086996394</v>
      </c>
      <c r="G16" s="6">
        <f t="shared" si="7"/>
        <v>13.39288908398605</v>
      </c>
      <c r="I16" s="9">
        <f t="shared" si="8"/>
        <v>0.23599764764070813</v>
      </c>
      <c r="J16" s="9">
        <f t="shared" si="9"/>
        <v>13.521669184828106</v>
      </c>
      <c r="K16" s="9">
        <f t="shared" si="10"/>
        <v>-6.0359012715033646</v>
      </c>
      <c r="L16" s="9">
        <f t="shared" si="11"/>
        <v>-0.1053463505130459</v>
      </c>
      <c r="M16" s="11">
        <f t="shared" si="0"/>
        <v>1.4178596190092945</v>
      </c>
      <c r="O16" s="15">
        <f t="shared" si="12"/>
        <v>0.84062829990780386</v>
      </c>
      <c r="P16" s="15">
        <f t="shared" si="13"/>
        <v>48.164453723974773</v>
      </c>
      <c r="Q16" s="15">
        <v>-6.0359012715033602</v>
      </c>
      <c r="R16" s="15">
        <f t="shared" si="14"/>
        <v>-0.10534635051304582</v>
      </c>
      <c r="S16" s="16">
        <f t="shared" si="1"/>
        <v>7.1345011831423388E-2</v>
      </c>
      <c r="U16" s="23">
        <f t="shared" si="29"/>
        <v>0.83863226923211975</v>
      </c>
      <c r="V16" s="23">
        <f t="shared" si="15"/>
        <v>48.050089590479423</v>
      </c>
      <c r="W16" s="23">
        <f t="shared" si="16"/>
        <v>3.4032356765045013E-2</v>
      </c>
      <c r="X16" s="23">
        <f t="shared" si="30"/>
        <v>2.0077317162301638E-2</v>
      </c>
      <c r="Y16" s="23">
        <f t="shared" si="31"/>
        <v>-0.15729252783789338</v>
      </c>
      <c r="Z16" s="26">
        <f t="shared" si="17"/>
        <v>-0.10743288521550384</v>
      </c>
      <c r="AA16" s="23">
        <f t="shared" si="18"/>
        <v>-6.1554509037617899</v>
      </c>
      <c r="AB16" s="24">
        <f t="shared" si="32"/>
        <v>0.11428252671588668</v>
      </c>
      <c r="AD16" s="33">
        <f t="shared" si="33"/>
        <v>0.8161345149890018</v>
      </c>
      <c r="AE16" s="33">
        <f t="shared" si="19"/>
        <v>46.761063223826227</v>
      </c>
      <c r="AF16" s="33">
        <f t="shared" si="20"/>
        <v>5.6530111008162964E-2</v>
      </c>
      <c r="AG16" s="33">
        <f t="shared" si="34"/>
        <v>5.6335288099018055E-2</v>
      </c>
      <c r="AH16" s="33">
        <f t="shared" si="35"/>
        <v>-3.0744292240876048</v>
      </c>
      <c r="AI16" s="35">
        <f t="shared" si="2"/>
        <v>-0.21035865209392401</v>
      </c>
      <c r="AJ16" s="33">
        <f t="shared" si="21"/>
        <v>-12.052662949042663</v>
      </c>
      <c r="AK16" s="37">
        <f t="shared" si="36"/>
        <v>2.0631574475499801</v>
      </c>
      <c r="AM16" s="41">
        <f t="shared" si="22"/>
        <v>0.98948530398285484</v>
      </c>
      <c r="AN16" s="41">
        <f t="shared" si="37"/>
        <v>56.693331808436888</v>
      </c>
      <c r="AO16" s="42">
        <f t="shared" si="23"/>
        <v>-0.98948530398285484</v>
      </c>
      <c r="AP16" s="41">
        <f t="shared" si="38"/>
        <v>-0.14365840469202432</v>
      </c>
      <c r="AQ16" s="41">
        <f t="shared" si="39"/>
        <v>0.78897350505292563</v>
      </c>
      <c r="AR16" s="43">
        <f t="shared" si="3"/>
        <v>-9.1058795347756227</v>
      </c>
      <c r="AS16" s="41">
        <f t="shared" si="4"/>
        <v>-521.72846609719272</v>
      </c>
      <c r="AU16" s="48">
        <f t="shared" si="40"/>
        <v>-0.84062829990780386</v>
      </c>
      <c r="AV16" s="48">
        <f t="shared" si="24"/>
        <v>-48.164453723974773</v>
      </c>
      <c r="AW16" s="49">
        <f t="shared" si="25"/>
        <v>-8.2652512348678187</v>
      </c>
      <c r="AX16" s="48">
        <f t="shared" si="41"/>
        <v>-1.3127532694936797</v>
      </c>
      <c r="AY16" s="48">
        <f t="shared" si="42"/>
        <v>18.338349627377681</v>
      </c>
      <c r="AZ16" s="50">
        <f t="shared" si="26"/>
        <v>0.37524578917878088</v>
      </c>
      <c r="BA16" s="48">
        <f t="shared" si="27"/>
        <v>21.5</v>
      </c>
      <c r="BB16" s="52">
        <f t="shared" si="43"/>
        <v>-5.0504440741303194</v>
      </c>
      <c r="BC16" s="44">
        <f t="shared" si="28"/>
        <v>-0.84062829990780386</v>
      </c>
    </row>
    <row r="17" spans="1:55" x14ac:dyDescent="0.3">
      <c r="A17" t="s">
        <v>10</v>
      </c>
      <c r="B17" s="28">
        <f>RADIANS(B16)</f>
        <v>0.87266462599716477</v>
      </c>
      <c r="D17">
        <f t="shared" si="5"/>
        <v>0.15</v>
      </c>
      <c r="F17" s="5">
        <f t="shared" si="44"/>
        <v>0.24782139533604297</v>
      </c>
      <c r="G17" s="6">
        <f t="shared" si="7"/>
        <v>14.199120025798326</v>
      </c>
      <c r="I17" s="9">
        <f t="shared" si="8"/>
        <v>0.25017624383080106</v>
      </c>
      <c r="J17" s="9">
        <f t="shared" si="9"/>
        <v>14.334042905940699</v>
      </c>
      <c r="K17" s="9">
        <f t="shared" si="10"/>
        <v>-6.0359012715033646</v>
      </c>
      <c r="L17" s="9">
        <f t="shared" si="11"/>
        <v>-0.1053463505130459</v>
      </c>
      <c r="M17" s="11">
        <f t="shared" si="0"/>
        <v>1.3862838350035527</v>
      </c>
      <c r="O17" s="15">
        <f t="shared" si="12"/>
        <v>0.84134175002611811</v>
      </c>
      <c r="P17" s="15">
        <f t="shared" si="13"/>
        <v>48.205331404647289</v>
      </c>
      <c r="Q17" s="15">
        <v>-6.0359012715033602</v>
      </c>
      <c r="R17" s="15">
        <f t="shared" si="14"/>
        <v>-0.10534635051304582</v>
      </c>
      <c r="S17" s="16">
        <f t="shared" si="1"/>
        <v>6.9756155887383819E-2</v>
      </c>
      <c r="U17" s="23">
        <f t="shared" si="29"/>
        <v>0.83977509449927867</v>
      </c>
      <c r="V17" s="23">
        <f t="shared" si="15"/>
        <v>48.115568655008545</v>
      </c>
      <c r="W17" s="23">
        <f t="shared" si="16"/>
        <v>3.2889531497886093E-2</v>
      </c>
      <c r="X17" s="23">
        <f t="shared" si="30"/>
        <v>2.04062124772805E-2</v>
      </c>
      <c r="Y17" s="23">
        <f t="shared" si="31"/>
        <v>-0.11428252671589201</v>
      </c>
      <c r="Z17" s="26">
        <f t="shared" si="17"/>
        <v>-0.10602007531675373</v>
      </c>
      <c r="AA17" s="23">
        <f t="shared" si="18"/>
        <v>-6.0745028593091028</v>
      </c>
      <c r="AB17" s="24">
        <f t="shared" si="32"/>
        <v>8.5673964047684015E-2</v>
      </c>
      <c r="AD17" s="33">
        <f t="shared" si="33"/>
        <v>0.83676608946450159</v>
      </c>
      <c r="AE17" s="33">
        <f t="shared" si="19"/>
        <v>47.943165365982203</v>
      </c>
      <c r="AF17" s="33">
        <f t="shared" si="20"/>
        <v>3.5898536532663172E-2</v>
      </c>
      <c r="AG17" s="33">
        <f t="shared" si="34"/>
        <v>5.6694273464344684E-2</v>
      </c>
      <c r="AH17" s="33">
        <f t="shared" si="35"/>
        <v>-2.0631574475499792</v>
      </c>
      <c r="AI17" s="35">
        <f t="shared" si="2"/>
        <v>-0.17486983275626583</v>
      </c>
      <c r="AJ17" s="33">
        <f t="shared" si="21"/>
        <v>-10.019303381092588</v>
      </c>
      <c r="AK17" s="37">
        <f t="shared" si="36"/>
        <v>1.3625138791701146</v>
      </c>
      <c r="AM17" s="41">
        <f t="shared" si="22"/>
        <v>0.98107902098377675</v>
      </c>
      <c r="AN17" s="41">
        <f t="shared" si="37"/>
        <v>56.211687271197135</v>
      </c>
      <c r="AO17" s="42">
        <f t="shared" si="23"/>
        <v>-0.98107902098377675</v>
      </c>
      <c r="AP17" s="41">
        <f t="shared" si="38"/>
        <v>-0.15346919490186209</v>
      </c>
      <c r="AQ17" s="41">
        <f t="shared" si="39"/>
        <v>0.84062829990780852</v>
      </c>
      <c r="AR17" s="43">
        <f t="shared" si="3"/>
        <v>-8.9701619099299599</v>
      </c>
      <c r="AS17" s="41">
        <f t="shared" si="4"/>
        <v>-513.95241898799645</v>
      </c>
      <c r="AU17" s="48">
        <f t="shared" si="40"/>
        <v>-0.89113274064910708</v>
      </c>
      <c r="AV17" s="48">
        <f t="shared" si="24"/>
        <v>-51.058145025120012</v>
      </c>
      <c r="AW17" s="49">
        <f t="shared" si="25"/>
        <v>-8.0790291692808527</v>
      </c>
      <c r="AX17" s="48">
        <f t="shared" si="41"/>
        <v>-1.3935435611864881</v>
      </c>
      <c r="AY17" s="48">
        <f t="shared" si="42"/>
        <v>18.622206558696597</v>
      </c>
      <c r="AZ17" s="50">
        <f t="shared" si="26"/>
        <v>0.37524578917878088</v>
      </c>
      <c r="BA17" s="48">
        <f t="shared" si="27"/>
        <v>21.5</v>
      </c>
      <c r="BB17" s="52">
        <f t="shared" si="43"/>
        <v>-4.9379705054640173</v>
      </c>
      <c r="BC17" s="44">
        <f t="shared" si="28"/>
        <v>-0.89113274064910708</v>
      </c>
    </row>
    <row r="18" spans="1:55" x14ac:dyDescent="0.3">
      <c r="D18">
        <f t="shared" si="5"/>
        <v>0.16</v>
      </c>
      <c r="F18" s="5">
        <f t="shared" si="44"/>
        <v>0.2615828731947224</v>
      </c>
      <c r="G18" s="6">
        <f t="shared" si="7"/>
        <v>14.987594626963388</v>
      </c>
      <c r="I18" s="9">
        <f t="shared" si="8"/>
        <v>0.2640390821808366</v>
      </c>
      <c r="J18" s="9">
        <f t="shared" si="9"/>
        <v>15.128325035469837</v>
      </c>
      <c r="K18" s="9">
        <f t="shared" si="10"/>
        <v>-6.0359012715033646</v>
      </c>
      <c r="L18" s="9">
        <f t="shared" si="11"/>
        <v>-0.1053463505130459</v>
      </c>
      <c r="M18" s="11">
        <f t="shared" si="0"/>
        <v>1.3554112448275877</v>
      </c>
      <c r="O18" s="15">
        <f t="shared" si="12"/>
        <v>0.8420393115849919</v>
      </c>
      <c r="P18" s="15">
        <f t="shared" si="13"/>
        <v>48.245298737921324</v>
      </c>
      <c r="Q18" s="15">
        <v>-6.0359012715033602</v>
      </c>
      <c r="R18" s="15">
        <f t="shared" si="14"/>
        <v>-0.10534635051304582</v>
      </c>
      <c r="S18" s="16">
        <f t="shared" si="1"/>
        <v>6.8202683821574128E-2</v>
      </c>
      <c r="U18" s="23">
        <f t="shared" si="29"/>
        <v>0.84063183413975551</v>
      </c>
      <c r="V18" s="23">
        <f t="shared" si="15"/>
        <v>48.164656220549418</v>
      </c>
      <c r="W18" s="23">
        <f t="shared" si="16"/>
        <v>3.203279185740926E-2</v>
      </c>
      <c r="X18" s="23">
        <f t="shared" si="30"/>
        <v>2.0726540395854594E-2</v>
      </c>
      <c r="Y18" s="23">
        <f t="shared" si="31"/>
        <v>-8.5673964047683349E-2</v>
      </c>
      <c r="Z18" s="26">
        <f t="shared" si="17"/>
        <v>-0.10509029468628929</v>
      </c>
      <c r="AA18" s="23">
        <f t="shared" si="18"/>
        <v>-6.0212303533104778</v>
      </c>
      <c r="AB18" s="24">
        <f t="shared" si="32"/>
        <v>6.6613428677954056E-2</v>
      </c>
      <c r="AD18" s="33">
        <f t="shared" si="33"/>
        <v>0.85039122825620272</v>
      </c>
      <c r="AE18" s="33">
        <f t="shared" si="19"/>
        <v>48.723828314026655</v>
      </c>
      <c r="AF18" s="33">
        <f t="shared" si="20"/>
        <v>2.2273397740962042E-2</v>
      </c>
      <c r="AG18" s="33">
        <f t="shared" si="34"/>
        <v>5.6917007441754305E-2</v>
      </c>
      <c r="AH18" s="33">
        <f t="shared" si="35"/>
        <v>-1.362513879170113</v>
      </c>
      <c r="AI18" s="35">
        <f t="shared" si="2"/>
        <v>-0.15156824096958213</v>
      </c>
      <c r="AJ18" s="33">
        <f t="shared" si="21"/>
        <v>-8.6842205157789092</v>
      </c>
      <c r="AK18" s="37">
        <f t="shared" si="36"/>
        <v>0.90230338067595151</v>
      </c>
      <c r="AM18" s="41">
        <f t="shared" si="22"/>
        <v>0.97216769357728572</v>
      </c>
      <c r="AN18" s="41">
        <f t="shared" si="37"/>
        <v>55.701105820945941</v>
      </c>
      <c r="AO18" s="42">
        <f t="shared" si="23"/>
        <v>-0.97216769357728572</v>
      </c>
      <c r="AP18" s="41">
        <f t="shared" si="38"/>
        <v>-0.16319087183763495</v>
      </c>
      <c r="AQ18" s="41">
        <f t="shared" si="39"/>
        <v>0.89113274064910319</v>
      </c>
      <c r="AR18" s="43">
        <f t="shared" si="3"/>
        <v>-8.8305441951237533</v>
      </c>
      <c r="AS18" s="41">
        <f t="shared" si="4"/>
        <v>-505.95291318433959</v>
      </c>
      <c r="AU18" s="48">
        <f t="shared" si="40"/>
        <v>-0.94051244570374726</v>
      </c>
      <c r="AV18" s="48">
        <f t="shared" si="24"/>
        <v>-53.88739371835171</v>
      </c>
      <c r="AW18" s="49">
        <f t="shared" si="25"/>
        <v>-7.8900317494200056</v>
      </c>
      <c r="AX18" s="48">
        <f t="shared" si="41"/>
        <v>-1.4724438786806882</v>
      </c>
      <c r="AY18" s="48">
        <f t="shared" si="42"/>
        <v>18.899741986084706</v>
      </c>
      <c r="AZ18" s="50">
        <f t="shared" si="26"/>
        <v>0.37524578917878088</v>
      </c>
      <c r="BA18" s="48">
        <f t="shared" si="27"/>
        <v>21.5</v>
      </c>
      <c r="BB18" s="52">
        <f t="shared" si="43"/>
        <v>-4.8280017271612667</v>
      </c>
      <c r="BC18" s="44">
        <f t="shared" si="28"/>
        <v>-0.94051244570374726</v>
      </c>
    </row>
    <row r="19" spans="1:55" x14ac:dyDescent="0.3">
      <c r="A19" t="s">
        <v>16</v>
      </c>
      <c r="B19">
        <f>DEGREES(B20)</f>
        <v>-6.0359012715033646</v>
      </c>
      <c r="D19">
        <f t="shared" si="5"/>
        <v>0.17</v>
      </c>
      <c r="F19" s="5">
        <f t="shared" si="44"/>
        <v>0.27504126979467614</v>
      </c>
      <c r="G19" s="6">
        <f t="shared" si="7"/>
        <v>15.758703951153953</v>
      </c>
      <c r="I19" s="9">
        <f t="shared" si="8"/>
        <v>0.27759319462911247</v>
      </c>
      <c r="J19" s="9">
        <f t="shared" si="9"/>
        <v>15.904918473801777</v>
      </c>
      <c r="K19" s="9">
        <f t="shared" si="10"/>
        <v>-6.0359012715033646</v>
      </c>
      <c r="L19" s="9">
        <f t="shared" si="11"/>
        <v>-0.1053463505130459</v>
      </c>
      <c r="M19" s="11">
        <f t="shared" si="0"/>
        <v>1.3252261883298688</v>
      </c>
      <c r="O19" s="15">
        <f t="shared" si="12"/>
        <v>0.84272133842320762</v>
      </c>
      <c r="P19" s="15">
        <f t="shared" si="13"/>
        <v>48.284375997265734</v>
      </c>
      <c r="Q19" s="15">
        <v>-6.0359012715033602</v>
      </c>
      <c r="R19" s="15">
        <f t="shared" si="14"/>
        <v>-0.10534635051304582</v>
      </c>
      <c r="S19" s="16">
        <f t="shared" si="1"/>
        <v>6.6683807633770353E-2</v>
      </c>
      <c r="U19" s="23">
        <f t="shared" si="29"/>
        <v>0.84129796842653504</v>
      </c>
      <c r="V19" s="23">
        <f t="shared" si="15"/>
        <v>48.202822903770844</v>
      </c>
      <c r="W19" s="23">
        <f t="shared" si="16"/>
        <v>3.136665757062973E-2</v>
      </c>
      <c r="X19" s="23">
        <f t="shared" si="30"/>
        <v>2.104020697156089E-2</v>
      </c>
      <c r="Y19" s="23">
        <f t="shared" si="31"/>
        <v>-6.6613428677952946E-2</v>
      </c>
      <c r="Z19" s="26">
        <f t="shared" si="17"/>
        <v>-0.10448066194099148</v>
      </c>
      <c r="AA19" s="23">
        <f t="shared" si="18"/>
        <v>-5.9863009699519401</v>
      </c>
      <c r="AB19" s="24">
        <f t="shared" si="32"/>
        <v>5.3883453433817063E-2</v>
      </c>
      <c r="AD19" s="33">
        <f t="shared" si="33"/>
        <v>0.85941426206296223</v>
      </c>
      <c r="AE19" s="33">
        <f t="shared" si="19"/>
        <v>49.240810069557831</v>
      </c>
      <c r="AF19" s="33">
        <f t="shared" si="20"/>
        <v>1.3250363934202536E-2</v>
      </c>
      <c r="AG19" s="33">
        <f t="shared" si="34"/>
        <v>5.7049511081096328E-2</v>
      </c>
      <c r="AH19" s="33">
        <f t="shared" si="35"/>
        <v>-0.90230338067595062</v>
      </c>
      <c r="AI19" s="35">
        <f t="shared" si="2"/>
        <v>-0.13608823312721796</v>
      </c>
      <c r="AJ19" s="33">
        <f t="shared" si="21"/>
        <v>-7.797281399582026</v>
      </c>
      <c r="AK19" s="37">
        <f t="shared" si="36"/>
        <v>0.59663419934521089</v>
      </c>
      <c r="AM19" s="41">
        <f t="shared" si="22"/>
        <v>0.96276256912024827</v>
      </c>
      <c r="AN19" s="41">
        <f t="shared" si="37"/>
        <v>55.162231883762423</v>
      </c>
      <c r="AO19" s="42">
        <f t="shared" si="23"/>
        <v>-0.96276256912024827</v>
      </c>
      <c r="AP19" s="41">
        <f t="shared" si="38"/>
        <v>-0.17281849752883743</v>
      </c>
      <c r="AQ19" s="41">
        <f t="shared" si="39"/>
        <v>0.94051244570374504</v>
      </c>
      <c r="AR19" s="43">
        <f t="shared" si="3"/>
        <v>-8.6871132454987361</v>
      </c>
      <c r="AS19" s="41">
        <f t="shared" si="4"/>
        <v>-497.73492511927259</v>
      </c>
      <c r="AU19" s="48">
        <f t="shared" si="40"/>
        <v>-0.98879246297535994</v>
      </c>
      <c r="AV19" s="48">
        <f t="shared" si="24"/>
        <v>-56.65363494283384</v>
      </c>
      <c r="AW19" s="49">
        <f t="shared" si="25"/>
        <v>-7.6983207825233766</v>
      </c>
      <c r="AX19" s="48">
        <f t="shared" si="41"/>
        <v>-1.5494270865059219</v>
      </c>
      <c r="AY19" s="48">
        <f t="shared" si="42"/>
        <v>19.171096689662903</v>
      </c>
      <c r="AZ19" s="50">
        <f t="shared" si="26"/>
        <v>0.37524578917878088</v>
      </c>
      <c r="BA19" s="48">
        <f t="shared" si="27"/>
        <v>21.5</v>
      </c>
      <c r="BB19" s="52">
        <f t="shared" si="43"/>
        <v>-4.7204819574518275</v>
      </c>
      <c r="BC19" s="44">
        <f t="shared" si="28"/>
        <v>-0.98879246297535994</v>
      </c>
    </row>
    <row r="20" spans="1:55" x14ac:dyDescent="0.3">
      <c r="A20" t="s">
        <v>17</v>
      </c>
      <c r="B20" s="29">
        <f>-B2*B6*B17/(2*B5*B7)</f>
        <v>-0.1053463505130459</v>
      </c>
      <c r="D20">
        <f t="shared" si="5"/>
        <v>0.18000000000000002</v>
      </c>
      <c r="F20" s="5">
        <f t="shared" si="44"/>
        <v>0.288203260163858</v>
      </c>
      <c r="G20" s="6">
        <f t="shared" si="7"/>
        <v>16.512830449299909</v>
      </c>
      <c r="I20" s="9">
        <f t="shared" si="8"/>
        <v>0.29084545651241117</v>
      </c>
      <c r="J20" s="9">
        <f t="shared" si="9"/>
        <v>16.664217148716883</v>
      </c>
      <c r="K20" s="9">
        <f t="shared" si="10"/>
        <v>-6.0359012715033646</v>
      </c>
      <c r="L20" s="9">
        <f t="shared" si="11"/>
        <v>-0.1053463505130459</v>
      </c>
      <c r="M20" s="11">
        <f t="shared" si="0"/>
        <v>1.2957133541109953</v>
      </c>
      <c r="O20" s="15">
        <f t="shared" si="12"/>
        <v>0.84338817649954534</v>
      </c>
      <c r="P20" s="15">
        <f t="shared" si="13"/>
        <v>48.322583004658505</v>
      </c>
      <c r="Q20" s="15">
        <v>-6.0359012715033602</v>
      </c>
      <c r="R20" s="15">
        <f t="shared" si="14"/>
        <v>-0.10534635051304582</v>
      </c>
      <c r="S20" s="16">
        <f t="shared" si="1"/>
        <v>6.5198756872542063E-2</v>
      </c>
      <c r="U20" s="23">
        <f t="shared" si="29"/>
        <v>0.84183680296087315</v>
      </c>
      <c r="V20" s="23">
        <f t="shared" si="15"/>
        <v>48.233695848444313</v>
      </c>
      <c r="W20" s="23">
        <f t="shared" si="16"/>
        <v>3.0827823036291613E-2</v>
      </c>
      <c r="X20" s="23">
        <f t="shared" si="30"/>
        <v>2.1348485201923804E-2</v>
      </c>
      <c r="Y20" s="23">
        <f t="shared" si="31"/>
        <v>-5.3883453433811734E-2</v>
      </c>
      <c r="Z20" s="26">
        <f t="shared" si="17"/>
        <v>-0.10408319920926178</v>
      </c>
      <c r="AA20" s="23">
        <f t="shared" si="18"/>
        <v>-5.9635280329100873</v>
      </c>
      <c r="AB20" s="24">
        <f t="shared" si="32"/>
        <v>4.5351083054757879E-2</v>
      </c>
      <c r="AD20" s="33">
        <f t="shared" si="33"/>
        <v>0.86538060405641437</v>
      </c>
      <c r="AE20" s="33">
        <f t="shared" si="19"/>
        <v>49.582656284914314</v>
      </c>
      <c r="AF20" s="33">
        <f t="shared" si="20"/>
        <v>7.2840219407503959E-3</v>
      </c>
      <c r="AG20" s="33">
        <f t="shared" si="34"/>
        <v>5.7122351300503832E-2</v>
      </c>
      <c r="AH20" s="33">
        <f t="shared" si="35"/>
        <v>-0.596634199345214</v>
      </c>
      <c r="AI20" s="35">
        <f t="shared" si="2"/>
        <v>-0.12582957548578239</v>
      </c>
      <c r="AJ20" s="33">
        <f t="shared" si="21"/>
        <v>-7.2095036132581365</v>
      </c>
      <c r="AK20" s="37">
        <f t="shared" si="36"/>
        <v>0.39409563817138582</v>
      </c>
      <c r="AM20" s="41">
        <f t="shared" si="22"/>
        <v>0.95287464449049464</v>
      </c>
      <c r="AN20" s="41">
        <f t="shared" si="37"/>
        <v>54.595695534334084</v>
      </c>
      <c r="AO20" s="42">
        <f t="shared" si="23"/>
        <v>-0.95287464449049464</v>
      </c>
      <c r="AP20" s="41">
        <f t="shared" si="38"/>
        <v>-0.18234724397374238</v>
      </c>
      <c r="AQ20" s="41">
        <f t="shared" si="39"/>
        <v>0.98879246297536305</v>
      </c>
      <c r="AR20" s="43">
        <f t="shared" si="3"/>
        <v>-8.5399539819295835</v>
      </c>
      <c r="AS20" s="41">
        <f t="shared" si="4"/>
        <v>-489.30332040050683</v>
      </c>
      <c r="AU20" s="48">
        <f t="shared" si="40"/>
        <v>-1.0359972825498782</v>
      </c>
      <c r="AV20" s="48">
        <f t="shared" si="24"/>
        <v>-59.358271877130271</v>
      </c>
      <c r="AW20" s="49">
        <f t="shared" si="25"/>
        <v>-7.5039566993797049</v>
      </c>
      <c r="AX20" s="48">
        <f t="shared" si="41"/>
        <v>-1.624466653499719</v>
      </c>
      <c r="AY20" s="48">
        <f t="shared" si="42"/>
        <v>19.436408314367171</v>
      </c>
      <c r="AZ20" s="50">
        <f t="shared" si="26"/>
        <v>0.37524578917878088</v>
      </c>
      <c r="BA20" s="48">
        <f t="shared" si="27"/>
        <v>21.5</v>
      </c>
      <c r="BB20" s="52">
        <f t="shared" si="43"/>
        <v>-4.615356656827462</v>
      </c>
      <c r="BC20" s="44">
        <f t="shared" si="28"/>
        <v>-1.0359972825498782</v>
      </c>
    </row>
    <row r="21" spans="1:55" x14ac:dyDescent="0.3">
      <c r="D21">
        <f t="shared" si="5"/>
        <v>0.19000000000000003</v>
      </c>
      <c r="F21" s="5">
        <f t="shared" si="44"/>
        <v>0.30107537232014803</v>
      </c>
      <c r="G21" s="6">
        <f t="shared" si="7"/>
        <v>17.25034814927437</v>
      </c>
      <c r="I21" s="9">
        <f t="shared" si="8"/>
        <v>0.30380259005352112</v>
      </c>
      <c r="J21" s="9">
        <f t="shared" si="9"/>
        <v>17.406606215209884</v>
      </c>
      <c r="K21" s="9">
        <f t="shared" si="10"/>
        <v>-6.0359012715033646</v>
      </c>
      <c r="L21" s="9">
        <f t="shared" si="11"/>
        <v>-0.1053463505130459</v>
      </c>
      <c r="M21" s="11">
        <f t="shared" si="0"/>
        <v>1.2668577717569738</v>
      </c>
      <c r="O21" s="15">
        <f t="shared" si="12"/>
        <v>0.84404016406827076</v>
      </c>
      <c r="P21" s="15">
        <f t="shared" si="13"/>
        <v>48.359939140641472</v>
      </c>
      <c r="Q21" s="15">
        <v>-6.0359012715033602</v>
      </c>
      <c r="R21" s="15">
        <f t="shared" si="14"/>
        <v>-0.10534635051304582</v>
      </c>
      <c r="S21" s="16">
        <f t="shared" si="1"/>
        <v>6.3746778244440083E-2</v>
      </c>
      <c r="U21" s="23">
        <f t="shared" si="29"/>
        <v>0.84229031379142072</v>
      </c>
      <c r="V21" s="23">
        <f t="shared" si="15"/>
        <v>48.259680104998168</v>
      </c>
      <c r="W21" s="23">
        <f t="shared" si="16"/>
        <v>3.0374312205744047E-2</v>
      </c>
      <c r="X21" s="23">
        <f t="shared" si="30"/>
        <v>2.1652228323981244E-2</v>
      </c>
      <c r="Y21" s="23">
        <f t="shared" si="31"/>
        <v>-4.5351083054756547E-2</v>
      </c>
      <c r="Z21" s="26">
        <f t="shared" si="17"/>
        <v>-0.10382632564417679</v>
      </c>
      <c r="AA21" s="23">
        <f t="shared" si="18"/>
        <v>-5.9488102617622385</v>
      </c>
      <c r="AB21" s="24">
        <f t="shared" si="32"/>
        <v>3.9602314801017835E-2</v>
      </c>
      <c r="AD21" s="33">
        <f t="shared" si="33"/>
        <v>0.86932156043812825</v>
      </c>
      <c r="AE21" s="33">
        <f t="shared" si="19"/>
        <v>49.808456452831663</v>
      </c>
      <c r="AF21" s="33">
        <f t="shared" si="20"/>
        <v>3.3430655590365177E-3</v>
      </c>
      <c r="AG21" s="33">
        <f t="shared" si="34"/>
        <v>5.71557819560942E-2</v>
      </c>
      <c r="AH21" s="33">
        <f t="shared" si="35"/>
        <v>-0.39409563817138782</v>
      </c>
      <c r="AI21" s="35">
        <f t="shared" si="2"/>
        <v>-0.1190272168394045</v>
      </c>
      <c r="AJ21" s="33">
        <f t="shared" si="21"/>
        <v>-6.8197571720863595</v>
      </c>
      <c r="AK21" s="37">
        <f t="shared" si="36"/>
        <v>0.25982934775338884</v>
      </c>
      <c r="AM21" s="41">
        <f t="shared" si="22"/>
        <v>0.94251467166499581</v>
      </c>
      <c r="AN21" s="41">
        <f t="shared" si="37"/>
        <v>54.002112815562782</v>
      </c>
      <c r="AO21" s="42">
        <f t="shared" si="23"/>
        <v>-0.94251467166499581</v>
      </c>
      <c r="AP21" s="41">
        <f t="shared" si="38"/>
        <v>-0.19177239069039234</v>
      </c>
      <c r="AQ21" s="41">
        <f t="shared" si="39"/>
        <v>1.0359972825498831</v>
      </c>
      <c r="AR21" s="43">
        <f t="shared" si="3"/>
        <v>-8.3891494341000765</v>
      </c>
      <c r="AS21" s="41">
        <f t="shared" si="4"/>
        <v>-480.66285627849732</v>
      </c>
      <c r="AU21" s="48">
        <f t="shared" si="40"/>
        <v>-1.0821508491181528</v>
      </c>
      <c r="AV21" s="48">
        <f t="shared" si="24"/>
        <v>-62.002676450968501</v>
      </c>
      <c r="AW21" s="49">
        <f t="shared" si="25"/>
        <v>-7.3069985849819235</v>
      </c>
      <c r="AX21" s="48">
        <f t="shared" si="41"/>
        <v>-1.6975366393495381</v>
      </c>
      <c r="AY21" s="48">
        <f t="shared" si="42"/>
        <v>19.695811439778144</v>
      </c>
      <c r="AZ21" s="50">
        <f t="shared" si="26"/>
        <v>0.37524578917878088</v>
      </c>
      <c r="BA21" s="48">
        <f t="shared" si="27"/>
        <v>21.5</v>
      </c>
      <c r="BB21" s="52">
        <f t="shared" si="43"/>
        <v>-4.5125725003767148</v>
      </c>
      <c r="BC21" s="44">
        <f t="shared" si="28"/>
        <v>-1.0821508491181528</v>
      </c>
    </row>
    <row r="22" spans="1:55" x14ac:dyDescent="0.3">
      <c r="A22" t="s">
        <v>21</v>
      </c>
      <c r="B22">
        <f>-2*$B$5*$B$7*$B$20/($B$2*$B$6)</f>
        <v>0.87266462599716477</v>
      </c>
      <c r="D22">
        <f t="shared" si="5"/>
        <v>0.20000000000000004</v>
      </c>
      <c r="F22" s="5">
        <f t="shared" si="44"/>
        <v>0.313663990509086</v>
      </c>
      <c r="G22" s="6">
        <f t="shared" si="7"/>
        <v>17.971622841402137</v>
      </c>
      <c r="I22" s="9">
        <f t="shared" si="8"/>
        <v>0.31647116777109086</v>
      </c>
      <c r="J22" s="9">
        <f t="shared" si="9"/>
        <v>18.132462250860105</v>
      </c>
      <c r="K22" s="9">
        <f t="shared" si="10"/>
        <v>-6.0359012715033646</v>
      </c>
      <c r="L22" s="9">
        <f t="shared" si="11"/>
        <v>-0.1053463505130459</v>
      </c>
      <c r="M22" s="11">
        <f t="shared" si="0"/>
        <v>1.2386448042454621</v>
      </c>
      <c r="O22" s="15">
        <f t="shared" si="12"/>
        <v>0.8446776318507152</v>
      </c>
      <c r="P22" s="15">
        <f t="shared" si="13"/>
        <v>48.396463354151102</v>
      </c>
      <c r="Q22" s="15">
        <v>-6.0359012715033602</v>
      </c>
      <c r="R22" s="15">
        <f t="shared" si="14"/>
        <v>-0.10534635051304582</v>
      </c>
      <c r="S22" s="16">
        <f t="shared" si="1"/>
        <v>6.2327135231886377E-2</v>
      </c>
      <c r="U22" s="23">
        <f t="shared" si="29"/>
        <v>0.84268633693943085</v>
      </c>
      <c r="V22" s="23">
        <f t="shared" si="15"/>
        <v>48.282370559968626</v>
      </c>
      <c r="W22" s="23">
        <f t="shared" si="16"/>
        <v>2.997828905773392E-2</v>
      </c>
      <c r="X22" s="23">
        <f t="shared" si="30"/>
        <v>2.1952011214558583E-2</v>
      </c>
      <c r="Y22" s="23">
        <f t="shared" si="31"/>
        <v>-3.9602314801012728E-2</v>
      </c>
      <c r="Z22" s="26">
        <f t="shared" si="17"/>
        <v>-0.10366258897057995</v>
      </c>
      <c r="AA22" s="23">
        <f t="shared" si="18"/>
        <v>-5.939428841413628</v>
      </c>
      <c r="AB22" s="24">
        <f t="shared" si="32"/>
        <v>3.5699759199043335E-2</v>
      </c>
      <c r="AD22" s="33">
        <f t="shared" si="33"/>
        <v>0.87191985391566218</v>
      </c>
      <c r="AE22" s="33">
        <f t="shared" si="19"/>
        <v>49.957327703030728</v>
      </c>
      <c r="AF22" s="33">
        <f t="shared" si="20"/>
        <v>7.4477208150258711E-4</v>
      </c>
      <c r="AG22" s="33">
        <f t="shared" si="34"/>
        <v>5.7163229676909226E-2</v>
      </c>
      <c r="AH22" s="33">
        <f t="shared" si="35"/>
        <v>-0.25982934775339306</v>
      </c>
      <c r="AI22" s="35">
        <f t="shared" si="2"/>
        <v>-0.11451685677805666</v>
      </c>
      <c r="AJ22" s="33">
        <f t="shared" si="21"/>
        <v>-6.5613325764867616</v>
      </c>
      <c r="AK22" s="37">
        <f t="shared" si="36"/>
        <v>0.17083591317919167</v>
      </c>
      <c r="AM22" s="41">
        <f t="shared" si="22"/>
        <v>0.93169316317381423</v>
      </c>
      <c r="AN22" s="41">
        <f t="shared" si="37"/>
        <v>53.382086051053093</v>
      </c>
      <c r="AO22" s="42">
        <f t="shared" si="23"/>
        <v>-0.93169316317381423</v>
      </c>
      <c r="AP22" s="41">
        <f t="shared" si="38"/>
        <v>-0.20108932232213048</v>
      </c>
      <c r="AQ22" s="41">
        <f t="shared" si="39"/>
        <v>1.0821508491181575</v>
      </c>
      <c r="AR22" s="43">
        <f t="shared" si="3"/>
        <v>-8.2347807826199855</v>
      </c>
      <c r="AS22" s="41">
        <f t="shared" si="4"/>
        <v>-471.81818405956216</v>
      </c>
      <c r="AU22" s="48">
        <f t="shared" si="40"/>
        <v>-1.1272765741219199</v>
      </c>
      <c r="AV22" s="48">
        <f t="shared" si="24"/>
        <v>-64.58819004115233</v>
      </c>
      <c r="AW22" s="49">
        <f t="shared" si="25"/>
        <v>-7.1075042084980655</v>
      </c>
      <c r="AX22" s="48">
        <f t="shared" si="41"/>
        <v>-1.7686116814345187</v>
      </c>
      <c r="AY22" s="48">
        <f t="shared" si="42"/>
        <v>19.949437648385793</v>
      </c>
      <c r="AZ22" s="50">
        <f t="shared" si="26"/>
        <v>0.37524578917878088</v>
      </c>
      <c r="BA22" s="48">
        <f t="shared" si="27"/>
        <v>21.5</v>
      </c>
      <c r="BB22" s="52">
        <f t="shared" si="43"/>
        <v>-4.4120773507358031</v>
      </c>
      <c r="BC22" s="44">
        <f t="shared" si="28"/>
        <v>-1.1272765741219199</v>
      </c>
    </row>
    <row r="23" spans="1:55" x14ac:dyDescent="0.3">
      <c r="D23">
        <f t="shared" si="5"/>
        <v>0.21000000000000005</v>
      </c>
      <c r="F23" s="5">
        <f t="shared" si="44"/>
        <v>0.32597535837029734</v>
      </c>
      <c r="G23" s="6">
        <f t="shared" si="7"/>
        <v>18.677012259882552</v>
      </c>
      <c r="I23" s="9">
        <f t="shared" si="8"/>
        <v>0.3288576158135455</v>
      </c>
      <c r="J23" s="9">
        <f t="shared" si="9"/>
        <v>18.842153446850837</v>
      </c>
      <c r="K23" s="9">
        <f t="shared" si="10"/>
        <v>-6.0359012715033646</v>
      </c>
      <c r="L23" s="9">
        <f t="shared" si="11"/>
        <v>-0.1053463505130459</v>
      </c>
      <c r="M23" s="11">
        <f t="shared" si="0"/>
        <v>1.2110601405211243</v>
      </c>
      <c r="O23" s="15">
        <f t="shared" si="12"/>
        <v>0.84530090320303408</v>
      </c>
      <c r="P23" s="15">
        <f t="shared" si="13"/>
        <v>48.432174172130381</v>
      </c>
      <c r="Q23" s="15">
        <v>-6.0359012715033602</v>
      </c>
      <c r="R23" s="15">
        <f t="shared" si="14"/>
        <v>-0.10534635051304582</v>
      </c>
      <c r="S23" s="16">
        <f t="shared" si="1"/>
        <v>6.0939107719576224E-2</v>
      </c>
      <c r="U23" s="23">
        <f t="shared" si="29"/>
        <v>0.84304333453142133</v>
      </c>
      <c r="V23" s="23">
        <f t="shared" si="15"/>
        <v>48.302825015286018</v>
      </c>
      <c r="W23" s="23">
        <f t="shared" si="16"/>
        <v>2.9621291465743438E-2</v>
      </c>
      <c r="X23" s="23">
        <f t="shared" si="30"/>
        <v>2.2248224129216017E-2</v>
      </c>
      <c r="Y23" s="23">
        <f t="shared" si="31"/>
        <v>-3.569975919904822E-2</v>
      </c>
      <c r="Z23" s="26">
        <f t="shared" si="17"/>
        <v>-0.10356053239392367</v>
      </c>
      <c r="AA23" s="23">
        <f t="shared" si="18"/>
        <v>-5.9335814302996699</v>
      </c>
      <c r="AB23" s="24">
        <f t="shared" si="32"/>
        <v>3.3021986755697341E-2</v>
      </c>
      <c r="AD23" s="33">
        <f t="shared" si="33"/>
        <v>0.87362821304745408</v>
      </c>
      <c r="AE23" s="33">
        <f t="shared" si="19"/>
        <v>50.05520947117504</v>
      </c>
      <c r="AF23" s="33">
        <f t="shared" si="20"/>
        <v>-9.6358705028931624E-4</v>
      </c>
      <c r="AG23" s="33">
        <f t="shared" si="34"/>
        <v>5.7153593806406333E-2</v>
      </c>
      <c r="AH23" s="33">
        <f t="shared" si="35"/>
        <v>-0.17083591317919034</v>
      </c>
      <c r="AI23" s="35">
        <f t="shared" si="2"/>
        <v>-0.11152583394633808</v>
      </c>
      <c r="AJ23" s="33">
        <f t="shared" si="21"/>
        <v>-6.3899595918020182</v>
      </c>
      <c r="AK23" s="37">
        <f t="shared" si="36"/>
        <v>0.11185306621208069</v>
      </c>
      <c r="AM23" s="41">
        <f t="shared" si="22"/>
        <v>0.92042039743259507</v>
      </c>
      <c r="AN23" s="41">
        <f t="shared" si="37"/>
        <v>52.736204150641569</v>
      </c>
      <c r="AO23" s="42">
        <f t="shared" si="23"/>
        <v>-0.92042039743259507</v>
      </c>
      <c r="AP23" s="41">
        <f t="shared" si="38"/>
        <v>-0.21029352629645642</v>
      </c>
      <c r="AQ23" s="41">
        <f t="shared" si="39"/>
        <v>1.127276574121916</v>
      </c>
      <c r="AR23" s="43">
        <f t="shared" si="3"/>
        <v>-8.0769274002040348</v>
      </c>
      <c r="AS23" s="41">
        <f t="shared" si="4"/>
        <v>-462.77385146526359</v>
      </c>
      <c r="AU23" s="48">
        <f t="shared" si="40"/>
        <v>-1.1713973476292781</v>
      </c>
      <c r="AV23" s="48">
        <f t="shared" si="24"/>
        <v>-67.116124151976564</v>
      </c>
      <c r="AW23" s="49">
        <f t="shared" si="25"/>
        <v>-6.9055300525747567</v>
      </c>
      <c r="AX23" s="48">
        <f t="shared" si="41"/>
        <v>-1.8376669819602662</v>
      </c>
      <c r="AY23" s="48">
        <f t="shared" si="42"/>
        <v>20.197415592330881</v>
      </c>
      <c r="AZ23" s="50">
        <f t="shared" si="26"/>
        <v>0.37524578917878088</v>
      </c>
      <c r="BA23" s="48">
        <f t="shared" si="27"/>
        <v>21.5</v>
      </c>
      <c r="BB23" s="52">
        <f t="shared" si="43"/>
        <v>-4.3138202316418806</v>
      </c>
      <c r="BC23" s="44">
        <f t="shared" si="28"/>
        <v>-1.1713973476292781</v>
      </c>
    </row>
    <row r="24" spans="1:55" x14ac:dyDescent="0.3">
      <c r="A24" s="23" t="s">
        <v>39</v>
      </c>
      <c r="B24" s="23"/>
      <c r="D24">
        <f t="shared" si="5"/>
        <v>0.22000000000000006</v>
      </c>
      <c r="F24" s="5">
        <f t="shared" si="44"/>
        <v>0.33801558203418292</v>
      </c>
      <c r="G24" s="6">
        <f t="shared" si="7"/>
        <v>19.366866260216735</v>
      </c>
      <c r="I24" s="9">
        <f t="shared" si="8"/>
        <v>0.34096821721875675</v>
      </c>
      <c r="J24" s="9">
        <f t="shared" si="9"/>
        <v>19.536039794734645</v>
      </c>
      <c r="K24" s="9">
        <f t="shared" si="10"/>
        <v>-6.0359012715033646</v>
      </c>
      <c r="L24" s="9">
        <f t="shared" si="11"/>
        <v>-0.1053463505130459</v>
      </c>
      <c r="M24" s="11">
        <f t="shared" si="0"/>
        <v>1.1840897882363346</v>
      </c>
      <c r="O24" s="15">
        <f t="shared" si="12"/>
        <v>0.84591029428022979</v>
      </c>
      <c r="P24" s="15">
        <f t="shared" si="13"/>
        <v>48.467089708926629</v>
      </c>
      <c r="Q24" s="15">
        <v>-6.0359012715033602</v>
      </c>
      <c r="R24" s="15">
        <f t="shared" si="14"/>
        <v>-0.10534635051304582</v>
      </c>
      <c r="S24" s="16">
        <f t="shared" si="1"/>
        <v>5.9581991629197084E-2</v>
      </c>
      <c r="U24" s="23">
        <f t="shared" si="29"/>
        <v>0.84337355439897832</v>
      </c>
      <c r="V24" s="23">
        <f t="shared" si="15"/>
        <v>48.321745220008403</v>
      </c>
      <c r="W24" s="23">
        <f t="shared" si="16"/>
        <v>2.9291071598186447E-2</v>
      </c>
      <c r="X24" s="23">
        <f t="shared" si="30"/>
        <v>2.2541134845197881E-2</v>
      </c>
      <c r="Y24" s="23">
        <f t="shared" si="31"/>
        <v>-3.3021986755699118E-2</v>
      </c>
      <c r="Z24" s="26">
        <f t="shared" si="17"/>
        <v>-0.10349930295299016</v>
      </c>
      <c r="AA24" s="23">
        <f t="shared" si="18"/>
        <v>-5.9300732417522344</v>
      </c>
      <c r="AB24" s="24">
        <f t="shared" si="32"/>
        <v>3.1157026524793796E-2</v>
      </c>
      <c r="AD24" s="33">
        <f t="shared" si="33"/>
        <v>0.87474674370957484</v>
      </c>
      <c r="AE24" s="33">
        <f t="shared" si="19"/>
        <v>50.119296557370532</v>
      </c>
      <c r="AF24" s="33">
        <f t="shared" si="20"/>
        <v>-2.0821177124100698E-3</v>
      </c>
      <c r="AG24" s="33">
        <f t="shared" si="34"/>
        <v>5.7132772629282236E-2</v>
      </c>
      <c r="AH24" s="33">
        <f t="shared" si="35"/>
        <v>-0.11185306621207536</v>
      </c>
      <c r="AI24" s="35">
        <f t="shared" si="2"/>
        <v>-0.10954204450268396</v>
      </c>
      <c r="AJ24" s="33">
        <f t="shared" si="21"/>
        <v>-6.2762968292380314</v>
      </c>
      <c r="AK24" s="37">
        <f t="shared" si="36"/>
        <v>7.2765189303493516E-2</v>
      </c>
      <c r="AM24" s="41">
        <f t="shared" si="22"/>
        <v>0.9087064239563023</v>
      </c>
      <c r="AN24" s="41">
        <f t="shared" si="37"/>
        <v>52.065042909121807</v>
      </c>
      <c r="AO24" s="42">
        <f t="shared" si="23"/>
        <v>-0.9087064239563023</v>
      </c>
      <c r="AP24" s="41">
        <f t="shared" si="38"/>
        <v>-0.21938059053601944</v>
      </c>
      <c r="AQ24" s="41">
        <f t="shared" si="39"/>
        <v>1.1713973476292772</v>
      </c>
      <c r="AR24" s="43">
        <f t="shared" si="3"/>
        <v>-7.9156668919337463</v>
      </c>
      <c r="AS24" s="41">
        <f t="shared" si="4"/>
        <v>-453.53430493924157</v>
      </c>
      <c r="AU24" s="48">
        <f t="shared" si="40"/>
        <v>-1.2145355499456969</v>
      </c>
      <c r="AV24" s="48">
        <f t="shared" si="24"/>
        <v>-69.587761080488832</v>
      </c>
      <c r="AW24" s="49">
        <f t="shared" si="25"/>
        <v>-6.7011313419880496</v>
      </c>
      <c r="AX24" s="48">
        <f t="shared" si="41"/>
        <v>-1.9046782953801467</v>
      </c>
      <c r="AY24" s="48">
        <f t="shared" si="42"/>
        <v>20.439871058670711</v>
      </c>
      <c r="AZ24" s="50">
        <f t="shared" si="26"/>
        <v>0.37524578917878088</v>
      </c>
      <c r="BA24" s="48">
        <f t="shared" si="27"/>
        <v>21.5</v>
      </c>
      <c r="BB24" s="52">
        <f t="shared" si="43"/>
        <v>-4.2177513020752855</v>
      </c>
      <c r="BC24" s="44">
        <f t="shared" si="28"/>
        <v>-1.2145355499456969</v>
      </c>
    </row>
    <row r="25" spans="1:55" x14ac:dyDescent="0.3">
      <c r="A25" s="23" t="s">
        <v>30</v>
      </c>
      <c r="B25" s="23">
        <v>-2</v>
      </c>
      <c r="D25">
        <f t="shared" si="5"/>
        <v>0.23000000000000007</v>
      </c>
      <c r="F25" s="5">
        <f t="shared" si="44"/>
        <v>0.34979063315040604</v>
      </c>
      <c r="G25" s="6">
        <f t="shared" si="7"/>
        <v>20.041526992727128</v>
      </c>
      <c r="I25" s="9">
        <f t="shared" si="8"/>
        <v>0.35280911510112012</v>
      </c>
      <c r="J25" s="9">
        <f t="shared" si="9"/>
        <v>20.214473269039463</v>
      </c>
      <c r="K25" s="9">
        <f t="shared" si="10"/>
        <v>-6.0359012715033646</v>
      </c>
      <c r="L25" s="9">
        <f t="shared" si="11"/>
        <v>-0.1053463505130459</v>
      </c>
      <c r="M25" s="11">
        <f t="shared" si="0"/>
        <v>1.157720066653545</v>
      </c>
      <c r="O25" s="15">
        <f t="shared" si="12"/>
        <v>0.84650611419652178</v>
      </c>
      <c r="P25" s="15">
        <f t="shared" si="13"/>
        <v>48.501227675479996</v>
      </c>
      <c r="Q25" s="15">
        <v>-6.0359012715033602</v>
      </c>
      <c r="R25" s="15">
        <f t="shared" si="14"/>
        <v>-0.10534635051304582</v>
      </c>
      <c r="S25" s="16">
        <f t="shared" si="1"/>
        <v>5.8255098562287166E-2</v>
      </c>
      <c r="U25" s="23">
        <f t="shared" si="29"/>
        <v>0.84368512466422629</v>
      </c>
      <c r="V25" s="23">
        <f t="shared" si="15"/>
        <v>48.339596881228886</v>
      </c>
      <c r="W25" s="23">
        <f t="shared" si="16"/>
        <v>2.8979501332938473E-2</v>
      </c>
      <c r="X25" s="23">
        <f t="shared" si="30"/>
        <v>2.2830929858527266E-2</v>
      </c>
      <c r="Y25" s="23">
        <f t="shared" si="31"/>
        <v>-3.1157026524797349E-2</v>
      </c>
      <c r="Z25" s="26">
        <f t="shared" si="17"/>
        <v>-0.10346507725030749</v>
      </c>
      <c r="AA25" s="23">
        <f t="shared" si="18"/>
        <v>-5.9281122534376474</v>
      </c>
      <c r="AB25" s="24">
        <f t="shared" si="32"/>
        <v>2.9831763409116974E-2</v>
      </c>
      <c r="AD25" s="33">
        <f t="shared" si="33"/>
        <v>0.87547439560260976</v>
      </c>
      <c r="AE25" s="33">
        <f t="shared" si="19"/>
        <v>50.160987939796136</v>
      </c>
      <c r="AF25" s="33">
        <f t="shared" si="20"/>
        <v>-2.8097696054449894E-3</v>
      </c>
      <c r="AG25" s="33">
        <f t="shared" si="34"/>
        <v>5.7104674933227788E-2</v>
      </c>
      <c r="AH25" s="33">
        <f t="shared" si="35"/>
        <v>-7.2765189303491962E-2</v>
      </c>
      <c r="AI25" s="35">
        <f t="shared" si="2"/>
        <v>-0.10822598470904814</v>
      </c>
      <c r="AJ25" s="33">
        <f t="shared" si="21"/>
        <v>-6.2008921574758409</v>
      </c>
      <c r="AK25" s="37">
        <f t="shared" si="36"/>
        <v>4.6866063078470077E-2</v>
      </c>
      <c r="AM25" s="41">
        <f t="shared" si="22"/>
        <v>0.89656106845684536</v>
      </c>
      <c r="AN25" s="41">
        <f t="shared" si="37"/>
        <v>51.369165298316915</v>
      </c>
      <c r="AO25" s="42">
        <f t="shared" si="23"/>
        <v>-0.89656106845684536</v>
      </c>
      <c r="AP25" s="41">
        <f t="shared" si="38"/>
        <v>-0.22834620122058788</v>
      </c>
      <c r="AQ25" s="41">
        <f t="shared" si="39"/>
        <v>1.2145355499456945</v>
      </c>
      <c r="AR25" s="43">
        <f t="shared" si="3"/>
        <v>-7.7510751346227593</v>
      </c>
      <c r="AS25" s="41">
        <f t="shared" si="4"/>
        <v>-444.10389190268052</v>
      </c>
      <c r="AU25" s="48">
        <f t="shared" si="40"/>
        <v>-1.2567130629664498</v>
      </c>
      <c r="AV25" s="48">
        <f t="shared" si="24"/>
        <v>-72.004354566936044</v>
      </c>
      <c r="AW25" s="49">
        <f t="shared" si="25"/>
        <v>-6.49436207165631</v>
      </c>
      <c r="AX25" s="48">
        <f t="shared" si="41"/>
        <v>-1.9696219160967097</v>
      </c>
      <c r="AY25" s="48">
        <f t="shared" si="42"/>
        <v>20.676927033173964</v>
      </c>
      <c r="AZ25" s="50">
        <f t="shared" si="26"/>
        <v>0.37524578917878088</v>
      </c>
      <c r="BA25" s="48">
        <f t="shared" si="27"/>
        <v>21.5</v>
      </c>
      <c r="BB25" s="52">
        <f t="shared" si="43"/>
        <v>-4.1238218309776311</v>
      </c>
      <c r="BC25" s="44">
        <f t="shared" si="28"/>
        <v>-1.2567130629664498</v>
      </c>
    </row>
    <row r="26" spans="1:55" x14ac:dyDescent="0.3">
      <c r="A26" s="23" t="s">
        <v>36</v>
      </c>
      <c r="B26" s="23">
        <v>-2</v>
      </c>
      <c r="D26">
        <f t="shared" si="5"/>
        <v>0.24000000000000007</v>
      </c>
      <c r="F26" s="5">
        <f t="shared" si="44"/>
        <v>0.36130635184968141</v>
      </c>
      <c r="G26" s="6">
        <f t="shared" si="7"/>
        <v>20.70132907225549</v>
      </c>
      <c r="I26" s="9">
        <f t="shared" si="8"/>
        <v>0.36438631576765557</v>
      </c>
      <c r="J26" s="9">
        <f t="shared" si="9"/>
        <v>20.877798005807986</v>
      </c>
      <c r="K26" s="9">
        <f t="shared" si="10"/>
        <v>-6.0359012715033646</v>
      </c>
      <c r="L26" s="9">
        <f t="shared" si="11"/>
        <v>-0.1053463505130459</v>
      </c>
      <c r="M26" s="11">
        <f t="shared" si="0"/>
        <v>1.1319375997057182</v>
      </c>
      <c r="O26" s="15">
        <f t="shared" si="12"/>
        <v>0.84708866518214465</v>
      </c>
      <c r="P26" s="15">
        <f t="shared" si="13"/>
        <v>48.534605388307376</v>
      </c>
      <c r="Q26" s="15">
        <v>-6.0359012715033602</v>
      </c>
      <c r="R26" s="15">
        <f t="shared" si="14"/>
        <v>-0.10534635051304582</v>
      </c>
      <c r="S26" s="16">
        <f t="shared" si="1"/>
        <v>5.6957755451040981E-2</v>
      </c>
      <c r="U26" s="23">
        <f t="shared" si="29"/>
        <v>0.84398344229831745</v>
      </c>
      <c r="V26" s="23">
        <f t="shared" si="15"/>
        <v>48.356689222616637</v>
      </c>
      <c r="W26" s="23">
        <f t="shared" si="16"/>
        <v>2.8681183698847312E-2</v>
      </c>
      <c r="X26" s="23">
        <f t="shared" si="30"/>
        <v>2.3117741695515739E-2</v>
      </c>
      <c r="Y26" s="23">
        <f t="shared" si="31"/>
        <v>-2.9831763409116085E-2</v>
      </c>
      <c r="Z26" s="26">
        <f t="shared" si="17"/>
        <v>-0.10344869197168052</v>
      </c>
      <c r="AA26" s="23">
        <f t="shared" si="18"/>
        <v>-5.9271734461261767</v>
      </c>
      <c r="AB26" s="24">
        <f t="shared" si="32"/>
        <v>2.8865133710806568E-2</v>
      </c>
      <c r="AD26" s="33">
        <f t="shared" si="33"/>
        <v>0.87594305623339441</v>
      </c>
      <c r="AE26" s="33">
        <f t="shared" si="19"/>
        <v>50.187840215964037</v>
      </c>
      <c r="AF26" s="33">
        <f t="shared" si="20"/>
        <v>-3.2784302362296458E-3</v>
      </c>
      <c r="AG26" s="33">
        <f t="shared" si="34"/>
        <v>5.7071890630865492E-2</v>
      </c>
      <c r="AH26" s="33">
        <f t="shared" si="35"/>
        <v>-4.6866063078465636E-2</v>
      </c>
      <c r="AI26" s="35">
        <f t="shared" si="2"/>
        <v>-0.10735259047387936</v>
      </c>
      <c r="AJ26" s="33">
        <f t="shared" si="21"/>
        <v>-6.1508503539496138</v>
      </c>
      <c r="AK26" s="37">
        <f t="shared" si="36"/>
        <v>2.9709996052228238E-2</v>
      </c>
      <c r="AM26" s="41">
        <f t="shared" si="22"/>
        <v>0.88399393782718083</v>
      </c>
      <c r="AN26" s="41">
        <f t="shared" si="37"/>
        <v>50.649121752647559</v>
      </c>
      <c r="AO26" s="42">
        <f t="shared" si="23"/>
        <v>-0.88399393782718083</v>
      </c>
      <c r="AP26" s="41">
        <f t="shared" si="38"/>
        <v>-0.23718614059885967</v>
      </c>
      <c r="AQ26" s="41">
        <f t="shared" si="39"/>
        <v>1.2567130629664525</v>
      </c>
      <c r="AR26" s="43">
        <f t="shared" si="3"/>
        <v>-7.583226315305355</v>
      </c>
      <c r="AS26" s="41">
        <f t="shared" si="4"/>
        <v>-434.48686295953928</v>
      </c>
      <c r="AU26" s="48">
        <f t="shared" si="40"/>
        <v>-1.2979512812762262</v>
      </c>
      <c r="AV26" s="48">
        <f t="shared" si="24"/>
        <v>-74.367130430725354</v>
      </c>
      <c r="AW26" s="49">
        <f t="shared" si="25"/>
        <v>-6.2852750340291283</v>
      </c>
      <c r="AX26" s="48">
        <f t="shared" si="41"/>
        <v>-2.0324746664370008</v>
      </c>
      <c r="AY26" s="48">
        <f t="shared" si="42"/>
        <v>20.908703762718162</v>
      </c>
      <c r="AZ26" s="50">
        <f t="shared" si="26"/>
        <v>0.37524578917878088</v>
      </c>
      <c r="BA26" s="48">
        <f t="shared" si="27"/>
        <v>21.5</v>
      </c>
      <c r="BB26" s="52">
        <f t="shared" si="43"/>
        <v>-4.0319841725329271</v>
      </c>
      <c r="BC26" s="44">
        <f t="shared" si="28"/>
        <v>-1.2979512812762262</v>
      </c>
    </row>
    <row r="27" spans="1:55" x14ac:dyDescent="0.3">
      <c r="A27" s="23" t="s">
        <v>37</v>
      </c>
      <c r="B27" s="23">
        <v>-5.0000000000000001E-3</v>
      </c>
      <c r="D27">
        <f t="shared" si="5"/>
        <v>0.25000000000000006</v>
      </c>
      <c r="F27" s="5">
        <f t="shared" si="44"/>
        <v>0.37256844964033431</v>
      </c>
      <c r="G27" s="6">
        <f t="shared" si="7"/>
        <v>21.346599744123509</v>
      </c>
      <c r="I27" s="9">
        <f t="shared" si="8"/>
        <v>0.37570569176471275</v>
      </c>
      <c r="J27" s="9">
        <f t="shared" si="9"/>
        <v>21.526350477161049</v>
      </c>
      <c r="K27" s="9">
        <f t="shared" si="10"/>
        <v>-6.0359012715033646</v>
      </c>
      <c r="L27" s="9">
        <f t="shared" si="11"/>
        <v>-0.1053463505130459</v>
      </c>
      <c r="M27" s="11">
        <f t="shared" si="0"/>
        <v>1.106729309211304</v>
      </c>
      <c r="O27" s="15">
        <f t="shared" si="12"/>
        <v>0.84765824273665502</v>
      </c>
      <c r="P27" s="15">
        <f t="shared" si="13"/>
        <v>48.567239778286201</v>
      </c>
      <c r="Q27" s="15">
        <v>-6.0359012715033602</v>
      </c>
      <c r="R27" s="15">
        <f t="shared" si="14"/>
        <v>-0.10534635051304582</v>
      </c>
      <c r="S27" s="16">
        <f t="shared" si="1"/>
        <v>5.5689304216897773E-2</v>
      </c>
      <c r="U27" s="23">
        <f t="shared" si="29"/>
        <v>0.84427209363542555</v>
      </c>
      <c r="V27" s="23">
        <f t="shared" si="15"/>
        <v>48.373227725983739</v>
      </c>
      <c r="W27" s="23">
        <f t="shared" si="16"/>
        <v>2.839253236173922E-2</v>
      </c>
      <c r="X27" s="23">
        <f t="shared" si="30"/>
        <v>2.340166701913313E-2</v>
      </c>
      <c r="Y27" s="23">
        <f t="shared" si="31"/>
        <v>-2.8865133710809232E-2</v>
      </c>
      <c r="Z27" s="26">
        <f t="shared" si="17"/>
        <v>-0.10344407309319065</v>
      </c>
      <c r="AA27" s="23">
        <f t="shared" si="18"/>
        <v>-5.9269088038826228</v>
      </c>
      <c r="AB27" s="24">
        <f t="shared" si="32"/>
        <v>2.8137097187814097E-2</v>
      </c>
      <c r="AD27" s="33">
        <f t="shared" si="33"/>
        <v>0.87624015619391671</v>
      </c>
      <c r="AE27" s="33">
        <f t="shared" si="19"/>
        <v>50.20486278979547</v>
      </c>
      <c r="AF27" s="33">
        <f t="shared" si="20"/>
        <v>-3.5755301967519415E-3</v>
      </c>
      <c r="AG27" s="33">
        <f t="shared" si="34"/>
        <v>5.7036135328897973E-2</v>
      </c>
      <c r="AH27" s="33">
        <f t="shared" si="35"/>
        <v>-2.970999605222957E-2</v>
      </c>
      <c r="AI27" s="35">
        <f t="shared" si="2"/>
        <v>-0.10677266028403092</v>
      </c>
      <c r="AJ27" s="33">
        <f t="shared" si="21"/>
        <v>-6.1176228016590768</v>
      </c>
      <c r="AK27" s="37">
        <f t="shared" si="36"/>
        <v>1.8349813668198989E-2</v>
      </c>
      <c r="AM27" s="41">
        <f t="shared" si="22"/>
        <v>0.87101442501441861</v>
      </c>
      <c r="AN27" s="41">
        <f t="shared" si="37"/>
        <v>49.905450448340304</v>
      </c>
      <c r="AO27" s="42">
        <f t="shared" si="23"/>
        <v>-0.87101442501441861</v>
      </c>
      <c r="AP27" s="41">
        <f t="shared" si="38"/>
        <v>-0.24589628484900386</v>
      </c>
      <c r="AQ27" s="41">
        <f t="shared" si="39"/>
        <v>1.2979512812762217</v>
      </c>
      <c r="AR27" s="43">
        <f t="shared" si="3"/>
        <v>-7.4121929688679646</v>
      </c>
      <c r="AS27" s="41">
        <f t="shared" si="4"/>
        <v>-424.68737405267797</v>
      </c>
      <c r="AU27" s="48">
        <f t="shared" si="40"/>
        <v>-1.3382711230015554</v>
      </c>
      <c r="AV27" s="48">
        <f t="shared" si="24"/>
        <v>-76.677287192222195</v>
      </c>
      <c r="AW27" s="49">
        <f t="shared" si="25"/>
        <v>-6.0739218458664093</v>
      </c>
      <c r="AX27" s="48">
        <f t="shared" si="41"/>
        <v>-2.0932138848956647</v>
      </c>
      <c r="AY27" s="48">
        <f t="shared" si="42"/>
        <v>21.135318816271909</v>
      </c>
      <c r="AZ27" s="50">
        <f t="shared" si="26"/>
        <v>0.37524578917878088</v>
      </c>
      <c r="BA27" s="48">
        <f t="shared" si="27"/>
        <v>21.5</v>
      </c>
      <c r="BB27" s="52">
        <f t="shared" si="43"/>
        <v>-3.9421917419991996</v>
      </c>
      <c r="BC27" s="44">
        <f t="shared" si="28"/>
        <v>-1.3382711230015554</v>
      </c>
    </row>
    <row r="28" spans="1:55" x14ac:dyDescent="0.3">
      <c r="A28" s="23"/>
      <c r="B28" s="23"/>
      <c r="D28">
        <f t="shared" si="5"/>
        <v>0.26000000000000006</v>
      </c>
      <c r="F28" s="5">
        <f t="shared" si="44"/>
        <v>0.38358251224106554</v>
      </c>
      <c r="G28" s="6">
        <f t="shared" si="7"/>
        <v>21.977659046438294</v>
      </c>
      <c r="I28" s="9">
        <f t="shared" si="8"/>
        <v>0.38677298485682576</v>
      </c>
      <c r="J28" s="9">
        <f t="shared" si="9"/>
        <v>22.160459661973416</v>
      </c>
      <c r="K28" s="9">
        <f t="shared" si="10"/>
        <v>-6.0359012715033646</v>
      </c>
      <c r="L28" s="9">
        <f t="shared" si="11"/>
        <v>-0.1053463505130459</v>
      </c>
      <c r="M28" s="11">
        <f t="shared" si="0"/>
        <v>1.0820824082403195</v>
      </c>
      <c r="O28" s="15">
        <f t="shared" si="12"/>
        <v>0.84821513577882401</v>
      </c>
      <c r="P28" s="15">
        <f t="shared" si="13"/>
        <v>48.599147399242689</v>
      </c>
      <c r="Q28" s="15">
        <v>-6.0359012715033602</v>
      </c>
      <c r="R28" s="15">
        <f t="shared" si="14"/>
        <v>-0.10534635051304582</v>
      </c>
      <c r="S28" s="16">
        <f t="shared" si="1"/>
        <v>5.4449101436730096E-2</v>
      </c>
      <c r="U28" s="23">
        <f t="shared" si="29"/>
        <v>0.84455346460730374</v>
      </c>
      <c r="V28" s="23">
        <f t="shared" si="15"/>
        <v>48.389349095149853</v>
      </c>
      <c r="W28" s="23">
        <f t="shared" si="16"/>
        <v>2.8111161389861028E-2</v>
      </c>
      <c r="X28" s="23">
        <f t="shared" si="30"/>
        <v>2.368277863303174E-2</v>
      </c>
      <c r="Y28" s="23">
        <f t="shared" si="31"/>
        <v>-2.8137097187819204E-2</v>
      </c>
      <c r="Z28" s="26">
        <f t="shared" si="17"/>
        <v>-0.10344719455984644</v>
      </c>
      <c r="AA28" s="23">
        <f t="shared" si="18"/>
        <v>-5.9270876507478905</v>
      </c>
      <c r="AB28" s="24">
        <f t="shared" si="32"/>
        <v>2.7568067785433525E-2</v>
      </c>
      <c r="AD28" s="33">
        <f t="shared" si="33"/>
        <v>0.87642365433059866</v>
      </c>
      <c r="AE28" s="33">
        <f t="shared" si="19"/>
        <v>50.215376458575861</v>
      </c>
      <c r="AF28" s="33">
        <f t="shared" si="20"/>
        <v>-3.7590283334338892E-3</v>
      </c>
      <c r="AG28" s="33">
        <f t="shared" si="34"/>
        <v>5.6998545045563634E-2</v>
      </c>
      <c r="AH28" s="33">
        <f t="shared" si="35"/>
        <v>-1.834981366819477E-2</v>
      </c>
      <c r="AI28" s="35">
        <f t="shared" si="2"/>
        <v>-0.10638728435591852</v>
      </c>
      <c r="AJ28" s="33">
        <f t="shared" si="21"/>
        <v>-6.0955423874522996</v>
      </c>
      <c r="AK28" s="37">
        <f t="shared" si="36"/>
        <v>1.0831755801260945E-2</v>
      </c>
      <c r="AM28" s="41">
        <f t="shared" si="22"/>
        <v>0.85763171378440306</v>
      </c>
      <c r="AN28" s="41">
        <f t="shared" si="37"/>
        <v>49.138677576418083</v>
      </c>
      <c r="AO28" s="42">
        <f t="shared" si="23"/>
        <v>-0.85763171378440306</v>
      </c>
      <c r="AP28" s="41">
        <f t="shared" si="38"/>
        <v>-0.2544726019868479</v>
      </c>
      <c r="AQ28" s="41">
        <f t="shared" si="39"/>
        <v>1.3382711230015554</v>
      </c>
      <c r="AR28" s="43">
        <f t="shared" si="3"/>
        <v>-7.2380460148424755</v>
      </c>
      <c r="AS28" s="41">
        <f t="shared" si="4"/>
        <v>-414.70948857195867</v>
      </c>
      <c r="AU28" s="48">
        <f t="shared" si="40"/>
        <v>-1.3776930404215473</v>
      </c>
      <c r="AV28" s="48">
        <f t="shared" si="24"/>
        <v>-78.935996680700981</v>
      </c>
      <c r="AW28" s="49">
        <f t="shared" si="25"/>
        <v>-5.8603529744209286</v>
      </c>
      <c r="AX28" s="48">
        <f t="shared" si="41"/>
        <v>-2.1518174146398739</v>
      </c>
      <c r="AY28" s="48">
        <f t="shared" si="42"/>
        <v>21.356887144548065</v>
      </c>
      <c r="AZ28" s="50">
        <f t="shared" si="26"/>
        <v>0.37524578917878088</v>
      </c>
      <c r="BA28" s="48">
        <f t="shared" si="27"/>
        <v>21.5</v>
      </c>
      <c r="BB28" s="52">
        <f t="shared" si="43"/>
        <v>-3.8543989920783277</v>
      </c>
      <c r="BC28" s="44">
        <f t="shared" si="28"/>
        <v>-1.3776930404215473</v>
      </c>
    </row>
    <row r="29" spans="1:55" x14ac:dyDescent="0.3">
      <c r="A29" s="23" t="s">
        <v>31</v>
      </c>
      <c r="B29" s="23">
        <f>0.5*$B$4*$B$5^2*B25</f>
        <v>-291.16929204999997</v>
      </c>
      <c r="D29">
        <f t="shared" si="5"/>
        <v>0.27000000000000007</v>
      </c>
      <c r="F29" s="5">
        <f t="shared" si="44"/>
        <v>0.39435400235132784</v>
      </c>
      <c r="G29" s="6">
        <f t="shared" si="7"/>
        <v>22.594819968823227</v>
      </c>
      <c r="I29" s="9">
        <f t="shared" si="8"/>
        <v>0.39759380893922897</v>
      </c>
      <c r="J29" s="9">
        <f t="shared" si="9"/>
        <v>22.780447212748641</v>
      </c>
      <c r="K29" s="9">
        <f t="shared" si="10"/>
        <v>-6.0359012715033646</v>
      </c>
      <c r="L29" s="9">
        <f t="shared" si="11"/>
        <v>-0.1053463505130459</v>
      </c>
      <c r="M29" s="11">
        <f t="shared" si="0"/>
        <v>1.0579843946281655</v>
      </c>
      <c r="O29" s="15">
        <f t="shared" si="12"/>
        <v>0.84875962679319128</v>
      </c>
      <c r="P29" s="15">
        <f t="shared" si="13"/>
        <v>48.630344436348729</v>
      </c>
      <c r="Q29" s="15">
        <v>-6.0359012715033602</v>
      </c>
      <c r="R29" s="15">
        <f t="shared" si="14"/>
        <v>-0.10534635051304582</v>
      </c>
      <c r="S29" s="16">
        <f t="shared" si="1"/>
        <v>5.3236518016465784E-2</v>
      </c>
      <c r="U29" s="23">
        <f t="shared" si="29"/>
        <v>0.84482914528515807</v>
      </c>
      <c r="V29" s="23">
        <f t="shared" si="15"/>
        <v>48.405144434484207</v>
      </c>
      <c r="W29" s="23">
        <f t="shared" si="16"/>
        <v>2.7835480712006699E-2</v>
      </c>
      <c r="X29" s="23">
        <f t="shared" si="30"/>
        <v>2.3961133440151806E-2</v>
      </c>
      <c r="Y29" s="23">
        <f t="shared" si="31"/>
        <v>-2.7568067785432859E-2</v>
      </c>
      <c r="Z29" s="26">
        <f t="shared" si="17"/>
        <v>-0.10345538796538985</v>
      </c>
      <c r="AA29" s="23">
        <f t="shared" si="18"/>
        <v>-5.9275570983053667</v>
      </c>
      <c r="AB29" s="24">
        <f t="shared" si="32"/>
        <v>2.7105277707965669E-2</v>
      </c>
      <c r="AD29" s="33">
        <f t="shared" si="33"/>
        <v>0.87653197188861132</v>
      </c>
      <c r="AE29" s="33">
        <f t="shared" si="19"/>
        <v>50.221582597497147</v>
      </c>
      <c r="AF29" s="33">
        <f t="shared" si="20"/>
        <v>-3.8673458914465497E-3</v>
      </c>
      <c r="AG29" s="33">
        <f t="shared" si="34"/>
        <v>5.6959871586649169E-2</v>
      </c>
      <c r="AH29" s="33">
        <f t="shared" si="35"/>
        <v>-1.0831755801266052E-2</v>
      </c>
      <c r="AI29" s="35">
        <f t="shared" si="2"/>
        <v>-0.10613089261139891</v>
      </c>
      <c r="AJ29" s="33">
        <f t="shared" si="21"/>
        <v>-6.0808522225893293</v>
      </c>
      <c r="AK29" s="37">
        <f t="shared" si="36"/>
        <v>5.8606228052984211E-3</v>
      </c>
      <c r="AM29" s="41">
        <f t="shared" si="22"/>
        <v>0.8438547833801876</v>
      </c>
      <c r="AN29" s="41">
        <f t="shared" si="37"/>
        <v>48.349317609611077</v>
      </c>
      <c r="AO29" s="42">
        <f t="shared" si="23"/>
        <v>-0.8438547833801876</v>
      </c>
      <c r="AP29" s="41">
        <f t="shared" si="38"/>
        <v>-0.26291114982064978</v>
      </c>
      <c r="AQ29" s="41">
        <f t="shared" si="39"/>
        <v>1.3776930404215459</v>
      </c>
      <c r="AR29" s="43">
        <f t="shared" si="3"/>
        <v>-7.0608547933803294</v>
      </c>
      <c r="AS29" s="41">
        <f t="shared" si="4"/>
        <v>-404.55717941540979</v>
      </c>
      <c r="AU29" s="48">
        <f t="shared" si="40"/>
        <v>-1.4162370303423306</v>
      </c>
      <c r="AV29" s="48">
        <f t="shared" si="24"/>
        <v>-81.144404628756661</v>
      </c>
      <c r="AW29" s="49">
        <f t="shared" si="25"/>
        <v>-5.6446177630379992</v>
      </c>
      <c r="AX29" s="48">
        <f t="shared" si="41"/>
        <v>-2.2082635922702538</v>
      </c>
      <c r="AY29" s="48">
        <f t="shared" si="42"/>
        <v>21.573521138292939</v>
      </c>
      <c r="AZ29" s="50">
        <f t="shared" si="26"/>
        <v>0.37524578917878088</v>
      </c>
      <c r="BA29" s="48">
        <f t="shared" si="27"/>
        <v>21.5</v>
      </c>
      <c r="BB29" s="52">
        <f t="shared" si="43"/>
        <v>-3.7685613898121355</v>
      </c>
      <c r="BC29" s="44">
        <f t="shared" si="28"/>
        <v>-1.4162370303423306</v>
      </c>
    </row>
    <row r="30" spans="1:55" x14ac:dyDescent="0.3">
      <c r="A30" s="23" t="s">
        <v>32</v>
      </c>
      <c r="B30" s="23">
        <f t="shared" ref="B30:B31" si="45">0.5*$B$4*$B$5^2*B26</f>
        <v>-291.16929204999997</v>
      </c>
      <c r="D30">
        <f t="shared" si="5"/>
        <v>0.28000000000000008</v>
      </c>
      <c r="F30" s="5">
        <f t="shared" si="44"/>
        <v>0.4048882623606887</v>
      </c>
      <c r="G30" s="6">
        <f t="shared" si="7"/>
        <v>23.198388607653047</v>
      </c>
      <c r="I30" s="9">
        <f t="shared" si="8"/>
        <v>0.40817365288551061</v>
      </c>
      <c r="J30" s="9">
        <f t="shared" si="9"/>
        <v>23.386627618777613</v>
      </c>
      <c r="K30" s="9">
        <f t="shared" si="10"/>
        <v>-6.0359012715033646</v>
      </c>
      <c r="L30" s="9">
        <f t="shared" si="11"/>
        <v>-0.1053463505130459</v>
      </c>
      <c r="M30" s="11">
        <f t="shared" si="0"/>
        <v>1.0344230446338925</v>
      </c>
      <c r="O30" s="15">
        <f t="shared" si="12"/>
        <v>0.84929199197335592</v>
      </c>
      <c r="P30" s="15">
        <f t="shared" si="13"/>
        <v>48.660846714331882</v>
      </c>
      <c r="Q30" s="15">
        <v>-6.0359012715033602</v>
      </c>
      <c r="R30" s="15">
        <f t="shared" si="14"/>
        <v>-0.10534635051304582</v>
      </c>
      <c r="S30" s="16">
        <f t="shared" si="1"/>
        <v>5.2050938871980312E-2</v>
      </c>
      <c r="U30" s="23">
        <f t="shared" si="29"/>
        <v>0.84510019806223768</v>
      </c>
      <c r="V30" s="23">
        <f t="shared" si="15"/>
        <v>48.42067461463617</v>
      </c>
      <c r="W30" s="23">
        <f t="shared" si="16"/>
        <v>2.7564427934927083E-2</v>
      </c>
      <c r="X30" s="23">
        <f t="shared" si="30"/>
        <v>2.4236777719501078E-2</v>
      </c>
      <c r="Y30" s="23">
        <f t="shared" si="31"/>
        <v>-2.7105277707961672E-2</v>
      </c>
      <c r="Z30" s="26">
        <f t="shared" si="17"/>
        <v>-0.10346688492031651</v>
      </c>
      <c r="AA30" s="23">
        <f t="shared" si="18"/>
        <v>-5.9282158252999171</v>
      </c>
      <c r="AB30" s="24">
        <f t="shared" si="32"/>
        <v>2.6713737790187819E-2</v>
      </c>
      <c r="AD30" s="33">
        <f t="shared" si="33"/>
        <v>0.8765905781166643</v>
      </c>
      <c r="AE30" s="33">
        <f t="shared" si="19"/>
        <v>50.224940487017761</v>
      </c>
      <c r="AF30" s="33">
        <f t="shared" si="20"/>
        <v>-3.9259521194995317E-3</v>
      </c>
      <c r="AG30" s="33">
        <f t="shared" si="34"/>
        <v>5.6920612065454172E-2</v>
      </c>
      <c r="AH30" s="33">
        <f t="shared" si="35"/>
        <v>-5.860622805298199E-3</v>
      </c>
      <c r="AI30" s="35">
        <f t="shared" si="2"/>
        <v>-0.10596001677788279</v>
      </c>
      <c r="AJ30" s="33">
        <f t="shared" si="21"/>
        <v>-6.0710617585080762</v>
      </c>
      <c r="AK30" s="37">
        <f t="shared" si="36"/>
        <v>2.5777928116159643E-3</v>
      </c>
      <c r="AM30" s="41">
        <f t="shared" si="22"/>
        <v>0.82969241307676433</v>
      </c>
      <c r="AN30" s="41">
        <f t="shared" si="37"/>
        <v>47.537873563323508</v>
      </c>
      <c r="AO30" s="42">
        <f t="shared" si="23"/>
        <v>-0.82969241307676433</v>
      </c>
      <c r="AP30" s="41">
        <f t="shared" si="38"/>
        <v>-0.27120807395141744</v>
      </c>
      <c r="AQ30" s="41">
        <f t="shared" si="39"/>
        <v>1.4162370303423266</v>
      </c>
      <c r="AR30" s="43">
        <f t="shared" si="3"/>
        <v>-6.8806871004253161</v>
      </c>
      <c r="AS30" s="41">
        <f t="shared" si="4"/>
        <v>-394.23433100447863</v>
      </c>
      <c r="AU30" s="48">
        <f t="shared" si="40"/>
        <v>-1.453922644240452</v>
      </c>
      <c r="AV30" s="48">
        <f t="shared" si="24"/>
        <v>-83.303631253478571</v>
      </c>
      <c r="AW30" s="49">
        <f t="shared" si="25"/>
        <v>-5.4267644561848645</v>
      </c>
      <c r="AX30" s="48">
        <f t="shared" si="41"/>
        <v>-2.2625312368321024</v>
      </c>
      <c r="AY30" s="48">
        <f t="shared" si="42"/>
        <v>21.785330685313475</v>
      </c>
      <c r="AZ30" s="50">
        <f t="shared" si="26"/>
        <v>0.37524578917878088</v>
      </c>
      <c r="BA30" s="48">
        <f t="shared" si="27"/>
        <v>21.5</v>
      </c>
      <c r="BB30" s="52">
        <f t="shared" si="43"/>
        <v>-3.6846353939930059</v>
      </c>
      <c r="BC30" s="44">
        <f t="shared" si="28"/>
        <v>-1.453922644240452</v>
      </c>
    </row>
    <row r="31" spans="1:55" x14ac:dyDescent="0.3">
      <c r="A31" s="23" t="s">
        <v>33</v>
      </c>
      <c r="B31" s="23">
        <f t="shared" si="45"/>
        <v>-0.72792323012499993</v>
      </c>
      <c r="D31">
        <f t="shared" si="5"/>
        <v>0.29000000000000009</v>
      </c>
      <c r="F31" s="5">
        <f t="shared" si="44"/>
        <v>0.41519051699852139</v>
      </c>
      <c r="G31" s="6">
        <f t="shared" si="7"/>
        <v>23.788664317869941</v>
      </c>
      <c r="I31" s="9">
        <f t="shared" si="8"/>
        <v>0.41851788333184953</v>
      </c>
      <c r="J31" s="9">
        <f t="shared" si="9"/>
        <v>23.979308365663563</v>
      </c>
      <c r="K31" s="9">
        <f t="shared" si="10"/>
        <v>-6.0359012715033646</v>
      </c>
      <c r="L31" s="9">
        <f t="shared" si="11"/>
        <v>-0.1053463505130459</v>
      </c>
      <c r="M31" s="11">
        <f t="shared" si="0"/>
        <v>1.0113864067396952</v>
      </c>
      <c r="O31" s="15">
        <f t="shared" si="12"/>
        <v>0.84981250136207576</v>
      </c>
      <c r="P31" s="15">
        <f t="shared" si="13"/>
        <v>48.690669705502465</v>
      </c>
      <c r="Q31" s="15">
        <v>-6.0359012715033602</v>
      </c>
      <c r="R31" s="15">
        <f t="shared" si="14"/>
        <v>-0.10534635051304582</v>
      </c>
      <c r="S31" s="16">
        <f t="shared" si="1"/>
        <v>5.0891762617093939E-2</v>
      </c>
      <c r="U31" s="23">
        <f t="shared" si="29"/>
        <v>0.84536733544013953</v>
      </c>
      <c r="V31" s="23">
        <f t="shared" si="15"/>
        <v>48.435980458940136</v>
      </c>
      <c r="W31" s="23">
        <f t="shared" si="16"/>
        <v>2.7297290557025233E-2</v>
      </c>
      <c r="X31" s="23">
        <f t="shared" si="30"/>
        <v>2.4509750625071332E-2</v>
      </c>
      <c r="Y31" s="23">
        <f t="shared" si="31"/>
        <v>-2.6713737790184933E-2</v>
      </c>
      <c r="Z31" s="26">
        <f t="shared" si="17"/>
        <v>-0.10348051367524221</v>
      </c>
      <c r="AA31" s="23">
        <f t="shared" si="18"/>
        <v>-5.9289966954371778</v>
      </c>
      <c r="AB31" s="24">
        <f t="shared" si="32"/>
        <v>2.6370244880977056E-2</v>
      </c>
      <c r="AD31" s="33">
        <f t="shared" si="33"/>
        <v>0.8766163560447805</v>
      </c>
      <c r="AE31" s="33">
        <f t="shared" si="19"/>
        <v>50.226417453503416</v>
      </c>
      <c r="AF31" s="33">
        <f t="shared" si="20"/>
        <v>-3.9517300476157313E-3</v>
      </c>
      <c r="AG31" s="33">
        <f t="shared" si="34"/>
        <v>5.6881094764978012E-2</v>
      </c>
      <c r="AH31" s="33">
        <f t="shared" si="35"/>
        <v>-2.5777928116199611E-3</v>
      </c>
      <c r="AI31" s="35">
        <f t="shared" si="2"/>
        <v>-0.10584584047066646</v>
      </c>
      <c r="AJ31" s="33">
        <f t="shared" si="21"/>
        <v>-6.0645199379841914</v>
      </c>
      <c r="AK31" s="37">
        <f t="shared" si="36"/>
        <v>4.1406320480441572E-4</v>
      </c>
      <c r="AM31" s="41">
        <f t="shared" si="22"/>
        <v>0.81515318663435976</v>
      </c>
      <c r="AN31" s="41">
        <f t="shared" si="37"/>
        <v>46.704837250788721</v>
      </c>
      <c r="AO31" s="42">
        <f t="shared" si="23"/>
        <v>-0.81515318663435976</v>
      </c>
      <c r="AP31" s="41">
        <f t="shared" si="38"/>
        <v>-0.27935960581776104</v>
      </c>
      <c r="AQ31" s="41">
        <f t="shared" si="39"/>
        <v>1.4539226442404574</v>
      </c>
      <c r="AR31" s="43">
        <f t="shared" si="3"/>
        <v>-6.6976092221031411</v>
      </c>
      <c r="AS31" s="41">
        <f t="shared" si="4"/>
        <v>-383.74474125440838</v>
      </c>
      <c r="AU31" s="48">
        <f t="shared" si="40"/>
        <v>-1.490768998180382</v>
      </c>
      <c r="AV31" s="48">
        <f t="shared" si="24"/>
        <v>-85.414771824681793</v>
      </c>
      <c r="AW31" s="49">
        <f t="shared" si="25"/>
        <v>-5.2068402239227591</v>
      </c>
      <c r="AX31" s="48">
        <f t="shared" si="41"/>
        <v>-2.3145996390713299</v>
      </c>
      <c r="AY31" s="48">
        <f t="shared" si="42"/>
        <v>21.992423226210533</v>
      </c>
      <c r="AZ31" s="50">
        <f t="shared" si="26"/>
        <v>0.37524578917878088</v>
      </c>
      <c r="BA31" s="48">
        <f t="shared" si="27"/>
        <v>21.5</v>
      </c>
      <c r="BB31" s="52">
        <f t="shared" si="43"/>
        <v>-3.6025784330775599</v>
      </c>
      <c r="BC31" s="44">
        <f t="shared" si="28"/>
        <v>-1.490768998180382</v>
      </c>
    </row>
    <row r="32" spans="1:55" x14ac:dyDescent="0.3">
      <c r="D32">
        <f t="shared" si="5"/>
        <v>0.3000000000000001</v>
      </c>
      <c r="F32" s="5">
        <f t="shared" si="44"/>
        <v>0.42526587592534026</v>
      </c>
      <c r="G32" s="6">
        <f t="shared" si="7"/>
        <v>24.36593986145612</v>
      </c>
      <c r="I32" s="9">
        <f t="shared" si="8"/>
        <v>0.42863174739924648</v>
      </c>
      <c r="J32" s="9">
        <f t="shared" si="9"/>
        <v>24.558790091294423</v>
      </c>
      <c r="K32" s="9">
        <f t="shared" si="10"/>
        <v>-6.0359012715033646</v>
      </c>
      <c r="L32" s="9">
        <f t="shared" si="11"/>
        <v>-0.1053463505130459</v>
      </c>
      <c r="M32" s="11">
        <f t="shared" si="0"/>
        <v>0.98886279558849377</v>
      </c>
      <c r="O32" s="15">
        <f t="shared" si="12"/>
        <v>0.85032141898824665</v>
      </c>
      <c r="P32" s="15">
        <f t="shared" si="13"/>
        <v>48.71982853760187</v>
      </c>
      <c r="Q32" s="15">
        <v>-6.0359012715033602</v>
      </c>
      <c r="R32" s="15">
        <f t="shared" si="14"/>
        <v>-0.10534635051304582</v>
      </c>
      <c r="S32" s="16">
        <f t="shared" si="1"/>
        <v>4.9758401258519269E-2</v>
      </c>
      <c r="U32" s="23">
        <f t="shared" si="29"/>
        <v>0.84563103788894933</v>
      </c>
      <c r="V32" s="23">
        <f t="shared" si="15"/>
        <v>48.451089496304206</v>
      </c>
      <c r="W32" s="23">
        <f t="shared" si="16"/>
        <v>2.7033588108215434E-2</v>
      </c>
      <c r="X32" s="23">
        <f t="shared" si="30"/>
        <v>2.4780086506153487E-2</v>
      </c>
      <c r="Y32" s="23">
        <f t="shared" si="31"/>
        <v>-2.6370244880979943E-2</v>
      </c>
      <c r="Z32" s="26">
        <f t="shared" si="17"/>
        <v>-0.10349549800433294</v>
      </c>
      <c r="AA32" s="23">
        <f t="shared" si="18"/>
        <v>-5.9298552342529121</v>
      </c>
      <c r="AB32" s="24">
        <f t="shared" si="32"/>
        <v>2.6059409174193027E-2</v>
      </c>
      <c r="AD32" s="33">
        <f t="shared" si="33"/>
        <v>0.87662049667682851</v>
      </c>
      <c r="AE32" s="33">
        <f t="shared" si="19"/>
        <v>50.226654694244282</v>
      </c>
      <c r="AF32" s="33">
        <f t="shared" si="20"/>
        <v>-3.9558706796637422E-3</v>
      </c>
      <c r="AG32" s="33">
        <f t="shared" si="34"/>
        <v>5.6841536058181374E-2</v>
      </c>
      <c r="AH32" s="33">
        <f t="shared" si="35"/>
        <v>-4.1406320480108505E-4</v>
      </c>
      <c r="AI32" s="35">
        <f t="shared" si="2"/>
        <v>-0.10576926044101126</v>
      </c>
      <c r="AJ32" s="33">
        <f t="shared" si="21"/>
        <v>-6.0601322254899612</v>
      </c>
      <c r="AK32" s="37">
        <f t="shared" si="36"/>
        <v>-1.0079047439153221E-3</v>
      </c>
      <c r="AM32" s="41">
        <f t="shared" si="22"/>
        <v>0.80024549665255595</v>
      </c>
      <c r="AN32" s="41">
        <f t="shared" si="37"/>
        <v>45.850689532541907</v>
      </c>
      <c r="AO32" s="42">
        <f t="shared" si="23"/>
        <v>-0.80024549665255595</v>
      </c>
      <c r="AP32" s="41">
        <f t="shared" si="38"/>
        <v>-0.28736206078428661</v>
      </c>
      <c r="AQ32" s="41">
        <f t="shared" si="39"/>
        <v>1.4907689981803807</v>
      </c>
      <c r="AR32" s="43">
        <f t="shared" si="3"/>
        <v>-6.51168596834518</v>
      </c>
      <c r="AS32" s="41">
        <f t="shared" si="4"/>
        <v>-373.09212350073739</v>
      </c>
      <c r="AU32" s="48">
        <f t="shared" si="40"/>
        <v>-1.5267947825111576</v>
      </c>
      <c r="AV32" s="48">
        <f t="shared" si="24"/>
        <v>-87.478897220483773</v>
      </c>
      <c r="AW32" s="49">
        <f t="shared" si="25"/>
        <v>-4.9848911858340221</v>
      </c>
      <c r="AX32" s="48">
        <f t="shared" si="41"/>
        <v>-2.3644485509296702</v>
      </c>
      <c r="AY32" s="48">
        <f t="shared" si="42"/>
        <v>22.194903808873701</v>
      </c>
      <c r="AZ32" s="50">
        <f t="shared" si="26"/>
        <v>0.37524578917878088</v>
      </c>
      <c r="BA32" s="48">
        <f t="shared" si="27"/>
        <v>21.5</v>
      </c>
      <c r="BB32" s="52">
        <f t="shared" si="43"/>
        <v>-3.522348883592199</v>
      </c>
      <c r="BC32" s="44">
        <f t="shared" si="28"/>
        <v>-1.5267947825111576</v>
      </c>
    </row>
    <row r="33" spans="1:55" x14ac:dyDescent="0.3">
      <c r="A33" s="33" t="s">
        <v>40</v>
      </c>
      <c r="B33" s="33"/>
      <c r="D33">
        <f t="shared" si="5"/>
        <v>0.31000000000000011</v>
      </c>
      <c r="F33" s="5">
        <f t="shared" si="44"/>
        <v>0.4351193362670645</v>
      </c>
      <c r="G33" s="6">
        <f t="shared" si="7"/>
        <v>24.930501552636454</v>
      </c>
      <c r="I33" s="9">
        <f t="shared" si="8"/>
        <v>0.43852037535513144</v>
      </c>
      <c r="J33" s="9">
        <f t="shared" si="9"/>
        <v>25.125366738341711</v>
      </c>
      <c r="K33" s="9">
        <f t="shared" si="10"/>
        <v>-6.0359012715033646</v>
      </c>
      <c r="L33" s="9">
        <f t="shared" si="11"/>
        <v>-0.1053463505130459</v>
      </c>
      <c r="M33" s="11">
        <f t="shared" si="0"/>
        <v>0.9668407860565249</v>
      </c>
      <c r="O33" s="15">
        <f t="shared" si="12"/>
        <v>0.8508190030008318</v>
      </c>
      <c r="P33" s="15">
        <f t="shared" si="13"/>
        <v>48.748338001476185</v>
      </c>
      <c r="Q33" s="15">
        <v>-6.0359012715033602</v>
      </c>
      <c r="R33" s="15">
        <f t="shared" si="14"/>
        <v>-0.10534635051304582</v>
      </c>
      <c r="S33" s="16">
        <f t="shared" si="1"/>
        <v>4.8650279897599402E-2</v>
      </c>
      <c r="U33" s="23">
        <f t="shared" si="29"/>
        <v>0.84589163198069128</v>
      </c>
      <c r="V33" s="23">
        <f t="shared" si="15"/>
        <v>48.466020437927064</v>
      </c>
      <c r="W33" s="23">
        <f t="shared" si="16"/>
        <v>2.6772994016473484E-2</v>
      </c>
      <c r="X33" s="23">
        <f t="shared" si="30"/>
        <v>2.5047816446318222E-2</v>
      </c>
      <c r="Y33" s="23">
        <f t="shared" si="31"/>
        <v>-2.6059409174195025E-2</v>
      </c>
      <c r="Z33" s="26">
        <f t="shared" si="17"/>
        <v>-0.10351132387971243</v>
      </c>
      <c r="AA33" s="23">
        <f t="shared" si="18"/>
        <v>-5.9307619901192563</v>
      </c>
      <c r="AB33" s="24">
        <f t="shared" si="32"/>
        <v>2.577102061753056E-2</v>
      </c>
      <c r="AD33" s="33">
        <f t="shared" si="33"/>
        <v>0.8766104176293894</v>
      </c>
      <c r="AE33" s="33">
        <f t="shared" si="19"/>
        <v>50.226077207364511</v>
      </c>
      <c r="AF33" s="33">
        <f t="shared" si="20"/>
        <v>-3.9457916322246378E-3</v>
      </c>
      <c r="AG33" s="33">
        <f t="shared" si="34"/>
        <v>5.6802078141859128E-2</v>
      </c>
      <c r="AH33" s="33">
        <f t="shared" si="35"/>
        <v>1.0079047439104372E-3</v>
      </c>
      <c r="AI33" s="35">
        <f t="shared" si="2"/>
        <v>-0.10571761254298853</v>
      </c>
      <c r="AJ33" s="33">
        <f t="shared" si="21"/>
        <v>-6.057173018912537</v>
      </c>
      <c r="AK33" s="37">
        <f t="shared" si="36"/>
        <v>-1.9382579857600835E-3</v>
      </c>
      <c r="AM33" s="41">
        <f t="shared" si="22"/>
        <v>0.78497754882744442</v>
      </c>
      <c r="AN33" s="41">
        <f t="shared" si="37"/>
        <v>44.975900560337067</v>
      </c>
      <c r="AO33" s="42">
        <f t="shared" si="23"/>
        <v>-0.78497754882744442</v>
      </c>
      <c r="AP33" s="41">
        <f t="shared" si="38"/>
        <v>-0.29521183627256103</v>
      </c>
      <c r="AQ33" s="41">
        <f t="shared" si="39"/>
        <v>1.5267947825111539</v>
      </c>
      <c r="AR33" s="43">
        <f t="shared" si="3"/>
        <v>-6.3229807057632907</v>
      </c>
      <c r="AS33" s="41">
        <f t="shared" si="4"/>
        <v>-362.28010838288714</v>
      </c>
      <c r="AU33" s="48">
        <f t="shared" si="40"/>
        <v>-1.5620182713470796</v>
      </c>
      <c r="AV33" s="48">
        <f t="shared" si="24"/>
        <v>-89.497054470508274</v>
      </c>
      <c r="AW33" s="49">
        <f t="shared" si="25"/>
        <v>-4.7609624344162107</v>
      </c>
      <c r="AX33" s="48">
        <f t="shared" si="41"/>
        <v>-2.4120581752738324</v>
      </c>
      <c r="AY33" s="48">
        <f t="shared" si="42"/>
        <v>22.392875141781143</v>
      </c>
      <c r="AZ33" s="50">
        <f t="shared" si="26"/>
        <v>0.37524578917878088</v>
      </c>
      <c r="BA33" s="48">
        <f t="shared" si="27"/>
        <v>21.5</v>
      </c>
      <c r="BB33" s="52">
        <f t="shared" si="43"/>
        <v>-3.4439060490195583</v>
      </c>
      <c r="BC33" s="44">
        <f t="shared" si="28"/>
        <v>-1.5620182713470796</v>
      </c>
    </row>
    <row r="34" spans="1:55" x14ac:dyDescent="0.3">
      <c r="A34" s="33" t="s">
        <v>30</v>
      </c>
      <c r="B34" s="33">
        <v>-2</v>
      </c>
      <c r="D34">
        <f t="shared" si="5"/>
        <v>0.32000000000000012</v>
      </c>
      <c r="F34" s="5">
        <f t="shared" si="44"/>
        <v>0.44475578509346747</v>
      </c>
      <c r="G34" s="6">
        <f t="shared" si="7"/>
        <v>25.482629399883137</v>
      </c>
      <c r="I34" s="9">
        <f t="shared" si="8"/>
        <v>0.44818878321569672</v>
      </c>
      <c r="J34" s="9">
        <f t="shared" si="9"/>
        <v>25.679325703363212</v>
      </c>
      <c r="K34" s="9">
        <f t="shared" si="10"/>
        <v>-6.0359012715033646</v>
      </c>
      <c r="L34" s="9">
        <f t="shared" si="11"/>
        <v>-0.1053463505130459</v>
      </c>
      <c r="M34" s="11">
        <f t="shared" si="0"/>
        <v>0.9453092074579369</v>
      </c>
      <c r="O34" s="15">
        <f t="shared" si="12"/>
        <v>0.85130550579980779</v>
      </c>
      <c r="P34" s="15">
        <f t="shared" si="13"/>
        <v>48.776212558578813</v>
      </c>
      <c r="Q34" s="15">
        <v>-6.0359012715033602</v>
      </c>
      <c r="R34" s="15">
        <f t="shared" si="14"/>
        <v>-0.10534635051304582</v>
      </c>
      <c r="S34" s="16">
        <f t="shared" si="1"/>
        <v>4.7566836438691196E-2</v>
      </c>
      <c r="U34" s="23">
        <f t="shared" si="29"/>
        <v>0.84614934218686655</v>
      </c>
      <c r="V34" s="23">
        <f t="shared" si="15"/>
        <v>48.480786145078355</v>
      </c>
      <c r="W34" s="23">
        <f t="shared" si="16"/>
        <v>2.6515283810298218E-2</v>
      </c>
      <c r="X34" s="23">
        <f t="shared" si="30"/>
        <v>2.5312969284421203E-2</v>
      </c>
      <c r="Y34" s="23">
        <f t="shared" si="31"/>
        <v>-2.5771020617526563E-2</v>
      </c>
      <c r="Z34" s="26">
        <f t="shared" si="17"/>
        <v>-0.1035276510863512</v>
      </c>
      <c r="AA34" s="23">
        <f t="shared" si="18"/>
        <v>-5.9316974701508958</v>
      </c>
      <c r="AB34" s="24">
        <f t="shared" si="32"/>
        <v>2.5498303032585046E-2</v>
      </c>
      <c r="AD34" s="33">
        <f t="shared" si="33"/>
        <v>0.87659103504953184</v>
      </c>
      <c r="AE34" s="33">
        <f t="shared" si="19"/>
        <v>50.224966667342592</v>
      </c>
      <c r="AF34" s="33">
        <f t="shared" si="20"/>
        <v>-3.9264090523670747E-3</v>
      </c>
      <c r="AG34" s="33">
        <f t="shared" si="34"/>
        <v>5.6762814051335458E-2</v>
      </c>
      <c r="AH34" s="33">
        <f t="shared" si="35"/>
        <v>1.9382579857563087E-3</v>
      </c>
      <c r="AI34" s="35">
        <f t="shared" si="2"/>
        <v>-0.10568250128786555</v>
      </c>
      <c r="AJ34" s="33">
        <f t="shared" si="21"/>
        <v>-6.0551612921805829</v>
      </c>
      <c r="AK34" s="37">
        <f t="shared" si="36"/>
        <v>-2.5428245939698169E-3</v>
      </c>
      <c r="AM34" s="41">
        <f t="shared" si="22"/>
        <v>0.76935736611397365</v>
      </c>
      <c r="AN34" s="41">
        <f t="shared" si="37"/>
        <v>44.080930015631985</v>
      </c>
      <c r="AO34" s="42">
        <f t="shared" si="23"/>
        <v>-0.76935736611397365</v>
      </c>
      <c r="AP34" s="41">
        <f t="shared" si="38"/>
        <v>-0.3029054099337008</v>
      </c>
      <c r="AQ34" s="41">
        <f t="shared" si="39"/>
        <v>1.5620182713470765</v>
      </c>
      <c r="AR34" s="43">
        <f t="shared" si="3"/>
        <v>-6.13155538979266</v>
      </c>
      <c r="AS34" s="41">
        <f t="shared" si="4"/>
        <v>-351.31224568581177</v>
      </c>
      <c r="AU34" s="48">
        <f t="shared" si="40"/>
        <v>-1.5964573318372752</v>
      </c>
      <c r="AV34" s="48">
        <f t="shared" si="24"/>
        <v>-91.470267286992225</v>
      </c>
      <c r="AW34" s="49">
        <f t="shared" si="25"/>
        <v>-4.535098057955385</v>
      </c>
      <c r="AX34" s="48">
        <f t="shared" si="41"/>
        <v>-2.4574091558533864</v>
      </c>
      <c r="AY34" s="48">
        <f t="shared" si="42"/>
        <v>22.586437646082569</v>
      </c>
      <c r="AZ34" s="50">
        <f t="shared" si="26"/>
        <v>0.37524578917878088</v>
      </c>
      <c r="BA34" s="48">
        <f t="shared" si="27"/>
        <v>21.5</v>
      </c>
      <c r="BB34" s="52">
        <f t="shared" si="43"/>
        <v>-3.3672101391551585</v>
      </c>
      <c r="BC34" s="44">
        <f t="shared" si="28"/>
        <v>-1.5964573318372752</v>
      </c>
    </row>
    <row r="35" spans="1:55" x14ac:dyDescent="0.3">
      <c r="A35" s="33" t="s">
        <v>36</v>
      </c>
      <c r="B35" s="33">
        <v>-2</v>
      </c>
      <c r="D35">
        <f t="shared" ref="D35:D67" si="46">D34+$B$11</f>
        <v>0.33000000000000013</v>
      </c>
      <c r="F35" s="5">
        <f t="shared" si="44"/>
        <v>0.4541800018420411</v>
      </c>
      <c r="G35" s="6">
        <f t="shared" si="7"/>
        <v>26.022597244792909</v>
      </c>
      <c r="I35" s="9">
        <f t="shared" si="8"/>
        <v>0.45764187529027611</v>
      </c>
      <c r="J35" s="9">
        <f t="shared" si="9"/>
        <v>26.220947982585177</v>
      </c>
      <c r="K35" s="9">
        <f t="shared" si="10"/>
        <v>-6.0359012715033646</v>
      </c>
      <c r="L35" s="9">
        <f t="shared" si="11"/>
        <v>-0.1053463505130459</v>
      </c>
      <c r="M35" s="11">
        <f t="shared" si="0"/>
        <v>0.9242571378784481</v>
      </c>
      <c r="O35" s="15">
        <f t="shared" si="12"/>
        <v>0.85178117416419474</v>
      </c>
      <c r="P35" s="15">
        <f t="shared" si="13"/>
        <v>48.803466348306074</v>
      </c>
      <c r="Q35" s="15">
        <v>-6.0359012715033602</v>
      </c>
      <c r="R35" s="15">
        <f t="shared" si="14"/>
        <v>-0.10534635051304582</v>
      </c>
      <c r="S35" s="16">
        <f t="shared" si="1"/>
        <v>4.6507521304041788E-2</v>
      </c>
      <c r="U35" s="23">
        <f t="shared" si="29"/>
        <v>0.84640432521719244</v>
      </c>
      <c r="V35" s="23">
        <f t="shared" si="15"/>
        <v>48.495395596563483</v>
      </c>
      <c r="W35" s="23">
        <f t="shared" si="16"/>
        <v>2.6260300779972323E-2</v>
      </c>
      <c r="X35" s="23">
        <f t="shared" si="30"/>
        <v>2.5575572292220926E-2</v>
      </c>
      <c r="Y35" s="23">
        <f t="shared" si="31"/>
        <v>-2.5498303032589487E-2</v>
      </c>
      <c r="Z35" s="26">
        <f t="shared" si="17"/>
        <v>-0.10354425462922355</v>
      </c>
      <c r="AA35" s="23">
        <f t="shared" si="18"/>
        <v>-5.9326487830824464</v>
      </c>
      <c r="AB35" s="24">
        <f t="shared" si="32"/>
        <v>2.5236756722845755E-2</v>
      </c>
      <c r="AD35" s="33">
        <f t="shared" si="33"/>
        <v>0.87656560680359219</v>
      </c>
      <c r="AE35" s="33">
        <f t="shared" si="19"/>
        <v>50.223509736169831</v>
      </c>
      <c r="AF35" s="33">
        <f t="shared" si="20"/>
        <v>-3.9009808064274232E-3</v>
      </c>
      <c r="AG35" s="33">
        <f t="shared" si="34"/>
        <v>5.6723804243271184E-2</v>
      </c>
      <c r="AH35" s="33">
        <f t="shared" si="35"/>
        <v>2.5428245939651539E-3</v>
      </c>
      <c r="AI35" s="35">
        <f t="shared" si="2"/>
        <v>-0.10565836099665735</v>
      </c>
      <c r="AJ35" s="33">
        <f t="shared" si="21"/>
        <v>-6.0537781553781365</v>
      </c>
      <c r="AK35" s="37">
        <f t="shared" si="36"/>
        <v>-2.9315353751082629E-3</v>
      </c>
      <c r="AM35" s="41">
        <f t="shared" si="22"/>
        <v>0.7533927927956009</v>
      </c>
      <c r="AN35" s="41">
        <f t="shared" si="37"/>
        <v>43.166227342762063</v>
      </c>
      <c r="AO35" s="42">
        <f t="shared" si="23"/>
        <v>-0.7533927927956009</v>
      </c>
      <c r="AP35" s="41">
        <f t="shared" si="38"/>
        <v>-0.31043933786165678</v>
      </c>
      <c r="AQ35" s="41">
        <f t="shared" si="39"/>
        <v>1.5964573318372755</v>
      </c>
      <c r="AR35" s="43">
        <f t="shared" si="3"/>
        <v>-5.9374705961187342</v>
      </c>
      <c r="AS35" s="41">
        <f t="shared" si="4"/>
        <v>-340.19200614062845</v>
      </c>
      <c r="AU35" s="48">
        <f t="shared" si="40"/>
        <v>-1.6301294332288268</v>
      </c>
      <c r="AV35" s="48">
        <f t="shared" si="24"/>
        <v>-93.399536584064705</v>
      </c>
      <c r="AW35" s="49">
        <f t="shared" si="25"/>
        <v>-4.307341162889907</v>
      </c>
      <c r="AX35" s="48">
        <f t="shared" si="41"/>
        <v>-2.5004825674822855</v>
      </c>
      <c r="AY35" s="48">
        <f t="shared" si="42"/>
        <v>22.775689506547803</v>
      </c>
      <c r="AZ35" s="50">
        <f t="shared" si="26"/>
        <v>0.37524578917878088</v>
      </c>
      <c r="BA35" s="48">
        <f t="shared" si="27"/>
        <v>21.5</v>
      </c>
      <c r="BB35" s="52">
        <f t="shared" si="43"/>
        <v>-3.2922222499237845</v>
      </c>
      <c r="BC35" s="44">
        <f t="shared" si="28"/>
        <v>-1.6301294332288268</v>
      </c>
    </row>
    <row r="36" spans="1:55" x14ac:dyDescent="0.3">
      <c r="A36" s="33" t="s">
        <v>37</v>
      </c>
      <c r="B36" s="33">
        <v>-5.0000000000000001E-3</v>
      </c>
      <c r="D36">
        <f t="shared" si="46"/>
        <v>0.34000000000000014</v>
      </c>
      <c r="F36" s="5">
        <f t="shared" si="44"/>
        <v>0.46339666068847707</v>
      </c>
      <c r="G36" s="6">
        <f t="shared" si="7"/>
        <v>26.550672897905606</v>
      </c>
      <c r="I36" s="9">
        <f t="shared" si="8"/>
        <v>0.46688444666906059</v>
      </c>
      <c r="J36" s="9">
        <f t="shared" si="9"/>
        <v>26.750508314437937</v>
      </c>
      <c r="K36" s="9">
        <f t="shared" si="10"/>
        <v>-6.0359012715033646</v>
      </c>
      <c r="L36" s="9">
        <f t="shared" si="11"/>
        <v>-0.1053463505130459</v>
      </c>
      <c r="M36" s="11">
        <f t="shared" si="0"/>
        <v>0.90367389863519576</v>
      </c>
      <c r="O36" s="15">
        <f t="shared" si="12"/>
        <v>0.85224624937723514</v>
      </c>
      <c r="P36" s="15">
        <f t="shared" si="13"/>
        <v>48.830113195169439</v>
      </c>
      <c r="Q36" s="15">
        <v>-6.0359012715033602</v>
      </c>
      <c r="R36" s="15">
        <f t="shared" si="14"/>
        <v>-0.10534635051304582</v>
      </c>
      <c r="S36" s="16">
        <f t="shared" si="1"/>
        <v>4.5471797155014482E-2</v>
      </c>
      <c r="U36" s="23">
        <f t="shared" si="29"/>
        <v>0.84665669278442091</v>
      </c>
      <c r="V36" s="23">
        <f t="shared" si="15"/>
        <v>48.509855193051656</v>
      </c>
      <c r="W36" s="23">
        <f t="shared" si="16"/>
        <v>2.6007933212743861E-2</v>
      </c>
      <c r="X36" s="23">
        <f t="shared" si="30"/>
        <v>2.5835651624348366E-2</v>
      </c>
      <c r="Y36" s="23">
        <f t="shared" si="31"/>
        <v>-2.5236756722846199E-2</v>
      </c>
      <c r="Z36" s="26">
        <f t="shared" si="17"/>
        <v>-0.10356098589057022</v>
      </c>
      <c r="AA36" s="23">
        <f t="shared" si="18"/>
        <v>-5.9336074137435411</v>
      </c>
      <c r="AB36" s="24">
        <f t="shared" si="32"/>
        <v>2.4983391206379268E-2</v>
      </c>
      <c r="AD36" s="33">
        <f t="shared" si="33"/>
        <v>0.87653629144984113</v>
      </c>
      <c r="AE36" s="33">
        <f t="shared" si="19"/>
        <v>50.221830090124961</v>
      </c>
      <c r="AF36" s="33">
        <f t="shared" si="20"/>
        <v>-3.871665452676365E-3</v>
      </c>
      <c r="AG36" s="33">
        <f t="shared" si="34"/>
        <v>5.6685087588744423E-2</v>
      </c>
      <c r="AH36" s="33">
        <f t="shared" si="35"/>
        <v>2.9315353751058204E-3</v>
      </c>
      <c r="AI36" s="35">
        <f t="shared" si="2"/>
        <v>-0.10564150194901165</v>
      </c>
      <c r="AJ36" s="33">
        <f t="shared" si="21"/>
        <v>-6.0528122031014275</v>
      </c>
      <c r="AK36" s="37">
        <f t="shared" si="36"/>
        <v>-3.1772653281123553E-3</v>
      </c>
      <c r="AM36" s="41">
        <f t="shared" si="22"/>
        <v>0.73709149846331268</v>
      </c>
      <c r="AN36" s="41">
        <f t="shared" si="37"/>
        <v>42.232231976921419</v>
      </c>
      <c r="AO36" s="42">
        <f t="shared" si="23"/>
        <v>-0.73709149846331268</v>
      </c>
      <c r="AP36" s="41">
        <f t="shared" si="38"/>
        <v>-0.31781025284628989</v>
      </c>
      <c r="AQ36" s="41">
        <f t="shared" si="39"/>
        <v>1.6301294332288219</v>
      </c>
      <c r="AR36" s="43">
        <f t="shared" si="3"/>
        <v>-5.7407855514043051</v>
      </c>
      <c r="AS36" s="41">
        <f t="shared" si="4"/>
        <v>-328.9227831851498</v>
      </c>
      <c r="AU36" s="48">
        <f t="shared" si="40"/>
        <v>-1.6630516557280646</v>
      </c>
      <c r="AV36" s="48">
        <f t="shared" si="24"/>
        <v>-95.285840985461675</v>
      </c>
      <c r="AW36" s="49">
        <f t="shared" si="25"/>
        <v>-4.077733895676241</v>
      </c>
      <c r="AX36" s="48">
        <f t="shared" si="41"/>
        <v>-2.541259906439048</v>
      </c>
      <c r="AY36" s="48">
        <f t="shared" si="42"/>
        <v>22.960726721366598</v>
      </c>
      <c r="AZ36" s="50">
        <f t="shared" si="26"/>
        <v>0.37524578917878088</v>
      </c>
      <c r="BA36" s="48">
        <f t="shared" si="27"/>
        <v>21.5</v>
      </c>
      <c r="BB36" s="52">
        <f t="shared" si="43"/>
        <v>-3.2189043436453564</v>
      </c>
      <c r="BC36" s="44">
        <f t="shared" si="28"/>
        <v>-1.6630516557280646</v>
      </c>
    </row>
    <row r="37" spans="1:55" x14ac:dyDescent="0.3">
      <c r="A37" s="33"/>
      <c r="B37" s="33"/>
      <c r="D37">
        <f t="shared" si="46"/>
        <v>0.35000000000000014</v>
      </c>
      <c r="F37" s="5">
        <f t="shared" si="44"/>
        <v>0.47241033286494144</v>
      </c>
      <c r="G37" s="6">
        <f t="shared" si="7"/>
        <v>27.067118271531513</v>
      </c>
      <c r="I37" s="9">
        <f t="shared" si="8"/>
        <v>0.47592118565541253</v>
      </c>
      <c r="J37" s="9">
        <f t="shared" si="9"/>
        <v>27.268275318917233</v>
      </c>
      <c r="K37" s="9">
        <f t="shared" si="10"/>
        <v>-6.0359012715033646</v>
      </c>
      <c r="L37" s="9">
        <f t="shared" si="11"/>
        <v>-0.1053463505130459</v>
      </c>
      <c r="M37" s="11">
        <f t="shared" si="0"/>
        <v>0.88354904885996266</v>
      </c>
      <c r="O37" s="15">
        <f t="shared" si="12"/>
        <v>0.85270096734878531</v>
      </c>
      <c r="P37" s="15">
        <f t="shared" si="13"/>
        <v>48.856166615808014</v>
      </c>
      <c r="Q37" s="15">
        <v>-6.0359012715033602</v>
      </c>
      <c r="R37" s="15">
        <f t="shared" si="14"/>
        <v>-0.10534635051304582</v>
      </c>
      <c r="S37" s="16">
        <f t="shared" si="1"/>
        <v>4.4459138619521887E-2</v>
      </c>
      <c r="U37" s="23">
        <f t="shared" si="29"/>
        <v>0.8469065266964847</v>
      </c>
      <c r="V37" s="23">
        <f t="shared" si="15"/>
        <v>48.524169621792154</v>
      </c>
      <c r="W37" s="23">
        <f t="shared" si="16"/>
        <v>2.5758099300680071E-2</v>
      </c>
      <c r="X37" s="23">
        <f t="shared" si="30"/>
        <v>2.6093232617355168E-2</v>
      </c>
      <c r="Y37" s="23">
        <f t="shared" si="31"/>
        <v>-2.4983391206379046E-2</v>
      </c>
      <c r="Z37" s="26">
        <f t="shared" si="17"/>
        <v>-0.10357774688003858</v>
      </c>
      <c r="AA37" s="23">
        <f t="shared" si="18"/>
        <v>-5.934567747700541</v>
      </c>
      <c r="AB37" s="24">
        <f t="shared" si="32"/>
        <v>2.4736216572703862E-2</v>
      </c>
      <c r="AD37" s="33">
        <f t="shared" si="33"/>
        <v>0.87650451879655999</v>
      </c>
      <c r="AE37" s="33">
        <f t="shared" si="19"/>
        <v>50.220009651188022</v>
      </c>
      <c r="AF37" s="33">
        <f t="shared" si="20"/>
        <v>-3.8398927993952281E-3</v>
      </c>
      <c r="AG37" s="33">
        <f t="shared" si="34"/>
        <v>5.6646688660750469E-2</v>
      </c>
      <c r="AH37" s="33">
        <f t="shared" si="35"/>
        <v>3.1772653281136876E-3</v>
      </c>
      <c r="AI37" s="35">
        <f t="shared" si="2"/>
        <v>-0.10562947804935105</v>
      </c>
      <c r="AJ37" s="33">
        <f t="shared" si="21"/>
        <v>-6.0521232843975872</v>
      </c>
      <c r="AK37" s="37">
        <f t="shared" si="36"/>
        <v>-3.3283241599040281E-3</v>
      </c>
      <c r="AM37" s="41">
        <f t="shared" si="22"/>
        <v>0.72046098190603203</v>
      </c>
      <c r="AN37" s="41">
        <f t="shared" si="37"/>
        <v>41.279373567066806</v>
      </c>
      <c r="AO37" s="42">
        <f t="shared" si="23"/>
        <v>-0.72046098190603203</v>
      </c>
      <c r="AP37" s="41">
        <f t="shared" si="38"/>
        <v>-0.32501486266535018</v>
      </c>
      <c r="AQ37" s="41">
        <f t="shared" si="39"/>
        <v>1.663051655728065</v>
      </c>
      <c r="AR37" s="43">
        <f t="shared" si="3"/>
        <v>-5.5415581633322555</v>
      </c>
      <c r="AS37" s="41">
        <f t="shared" si="4"/>
        <v>-317.50789468520634</v>
      </c>
      <c r="AU37" s="48">
        <f t="shared" si="40"/>
        <v>-1.6952406991645181</v>
      </c>
      <c r="AV37" s="48">
        <f t="shared" si="24"/>
        <v>-97.130137320933756</v>
      </c>
      <c r="AW37" s="49">
        <f t="shared" si="25"/>
        <v>-3.8463174641677371</v>
      </c>
      <c r="AX37" s="48">
        <f t="shared" si="41"/>
        <v>-2.5797230810807252</v>
      </c>
      <c r="AY37" s="48">
        <f t="shared" si="42"/>
        <v>23.141643150850388</v>
      </c>
      <c r="AZ37" s="50">
        <f t="shared" si="26"/>
        <v>0.37524578917878088</v>
      </c>
      <c r="BA37" s="48">
        <f t="shared" si="27"/>
        <v>21.5</v>
      </c>
      <c r="BB37" s="52">
        <f t="shared" si="43"/>
        <v>-3.1472192297402795</v>
      </c>
      <c r="BC37" s="44">
        <f t="shared" si="28"/>
        <v>-1.6952406991645181</v>
      </c>
    </row>
    <row r="38" spans="1:55" x14ac:dyDescent="0.3">
      <c r="A38" s="33" t="s">
        <v>31</v>
      </c>
      <c r="B38" s="33">
        <f>0.5*$B$4*$B$5^2*B34</f>
        <v>-291.16929204999997</v>
      </c>
      <c r="D38">
        <f t="shared" si="46"/>
        <v>0.36000000000000015</v>
      </c>
      <c r="F38" s="5">
        <f t="shared" si="44"/>
        <v>0.48122548892729095</v>
      </c>
      <c r="G38" s="6">
        <f t="shared" si="7"/>
        <v>27.572189509653303</v>
      </c>
      <c r="I38" s="9">
        <f t="shared" si="8"/>
        <v>0.48475667614401213</v>
      </c>
      <c r="J38" s="9">
        <f t="shared" si="9"/>
        <v>27.774511633841971</v>
      </c>
      <c r="K38" s="9">
        <f t="shared" si="10"/>
        <v>-6.0359012715033646</v>
      </c>
      <c r="L38" s="9">
        <f t="shared" si="11"/>
        <v>-0.1053463505130459</v>
      </c>
      <c r="M38" s="11">
        <f t="shared" si="0"/>
        <v>0.86387238020303703</v>
      </c>
      <c r="O38" s="15">
        <f t="shared" si="12"/>
        <v>0.85314555873498055</v>
      </c>
      <c r="P38" s="15">
        <f t="shared" si="13"/>
        <v>48.881639825844871</v>
      </c>
      <c r="Q38" s="15">
        <v>-6.0359012715033602</v>
      </c>
      <c r="R38" s="15">
        <f t="shared" si="14"/>
        <v>-0.10534635051304582</v>
      </c>
      <c r="S38" s="16">
        <f t="shared" si="1"/>
        <v>4.3469032025533316E-2</v>
      </c>
      <c r="U38" s="23">
        <f t="shared" si="29"/>
        <v>0.84715388886221177</v>
      </c>
      <c r="V38" s="23">
        <f t="shared" si="15"/>
        <v>48.538342429899529</v>
      </c>
      <c r="W38" s="23">
        <f t="shared" si="16"/>
        <v>2.5510737134952999E-2</v>
      </c>
      <c r="X38" s="23">
        <f t="shared" si="30"/>
        <v>2.6348339988704696E-2</v>
      </c>
      <c r="Y38" s="23">
        <f t="shared" si="31"/>
        <v>-2.4736216572707193E-2</v>
      </c>
      <c r="Z38" s="26">
        <f t="shared" si="17"/>
        <v>-0.10359447316445186</v>
      </c>
      <c r="AA38" s="23">
        <f t="shared" si="18"/>
        <v>-5.9355260932043574</v>
      </c>
      <c r="AB38" s="24">
        <f t="shared" si="32"/>
        <v>2.4493906288774348E-2</v>
      </c>
      <c r="AD38" s="33">
        <f t="shared" si="33"/>
        <v>0.87647123555496098</v>
      </c>
      <c r="AE38" s="33">
        <f t="shared" si="19"/>
        <v>50.218102661915886</v>
      </c>
      <c r="AF38" s="33">
        <f t="shared" si="20"/>
        <v>-3.8066095577962145E-3</v>
      </c>
      <c r="AG38" s="33">
        <f t="shared" si="34"/>
        <v>5.6608622565172503E-2</v>
      </c>
      <c r="AH38" s="33">
        <f t="shared" si="35"/>
        <v>3.3283241599013635E-3</v>
      </c>
      <c r="AI38" s="35">
        <f t="shared" si="2"/>
        <v>-0.10562066763555208</v>
      </c>
      <c r="AJ38" s="33">
        <f t="shared" si="21"/>
        <v>-6.0516184848711418</v>
      </c>
      <c r="AK38" s="37">
        <f t="shared" si="36"/>
        <v>-3.4167365878223777E-3</v>
      </c>
      <c r="AM38" s="41">
        <f t="shared" si="22"/>
        <v>0.7035085749143869</v>
      </c>
      <c r="AN38" s="41">
        <f t="shared" si="37"/>
        <v>40.30807219385747</v>
      </c>
      <c r="AO38" s="42">
        <f t="shared" si="23"/>
        <v>-0.7035085749143869</v>
      </c>
      <c r="AP38" s="41">
        <f t="shared" si="38"/>
        <v>-0.33204994841449403</v>
      </c>
      <c r="AQ38" s="41">
        <f t="shared" si="39"/>
        <v>1.695240699164513</v>
      </c>
      <c r="AR38" s="43">
        <f t="shared" si="3"/>
        <v>-5.3398450499793562</v>
      </c>
      <c r="AS38" s="41">
        <f t="shared" si="4"/>
        <v>-305.95058461764125</v>
      </c>
      <c r="AU38" s="48">
        <f t="shared" si="40"/>
        <v>-1.726712891461921</v>
      </c>
      <c r="AV38" s="48">
        <f t="shared" si="24"/>
        <v>-98.933361111599069</v>
      </c>
      <c r="AW38" s="49">
        <f t="shared" si="25"/>
        <v>-3.613132158517435</v>
      </c>
      <c r="AX38" s="48">
        <f t="shared" si="41"/>
        <v>-2.6158544026658994</v>
      </c>
      <c r="AY38" s="48">
        <f t="shared" si="42"/>
        <v>23.318530565030215</v>
      </c>
      <c r="AZ38" s="50">
        <f t="shared" si="26"/>
        <v>0.37524578917878088</v>
      </c>
      <c r="BA38" s="48">
        <f t="shared" si="27"/>
        <v>21.5</v>
      </c>
      <c r="BB38" s="52">
        <f t="shared" si="43"/>
        <v>-3.0771305458644851</v>
      </c>
      <c r="BC38" s="44">
        <f t="shared" si="28"/>
        <v>-1.726712891461921</v>
      </c>
    </row>
    <row r="39" spans="1:55" x14ac:dyDescent="0.3">
      <c r="A39" s="33" t="s">
        <v>32</v>
      </c>
      <c r="B39" s="33">
        <f>0.5*$B$4*$B$5^2*B35</f>
        <v>-291.16929204999997</v>
      </c>
      <c r="D39">
        <f t="shared" si="46"/>
        <v>0.37000000000000016</v>
      </c>
      <c r="F39" s="5">
        <f t="shared" si="44"/>
        <v>0.48984650097235721</v>
      </c>
      <c r="G39" s="6">
        <f t="shared" si="7"/>
        <v>28.066137114967045</v>
      </c>
      <c r="I39" s="9">
        <f t="shared" si="8"/>
        <v>0.49339539994604248</v>
      </c>
      <c r="J39" s="9">
        <f t="shared" si="9"/>
        <v>28.26947404807752</v>
      </c>
      <c r="K39" s="9">
        <f t="shared" si="10"/>
        <v>-6.0359012715033646</v>
      </c>
      <c r="L39" s="9">
        <f t="shared" si="11"/>
        <v>-0.1053463505130459</v>
      </c>
      <c r="M39" s="11">
        <f t="shared" si="0"/>
        <v>0.84463391165501744</v>
      </c>
      <c r="O39" s="15">
        <f t="shared" si="12"/>
        <v>0.85358024905523588</v>
      </c>
      <c r="P39" s="15">
        <f t="shared" si="13"/>
        <v>48.906545746590687</v>
      </c>
      <c r="Q39" s="15">
        <v>-6.0359012715033602</v>
      </c>
      <c r="R39" s="15">
        <f t="shared" si="14"/>
        <v>-0.10534635051304582</v>
      </c>
      <c r="S39" s="16">
        <f t="shared" si="1"/>
        <v>4.250097514051121E-2</v>
      </c>
      <c r="U39" s="23">
        <f t="shared" si="29"/>
        <v>0.84739882792509946</v>
      </c>
      <c r="V39" s="23">
        <f t="shared" si="15"/>
        <v>48.552376404440885</v>
      </c>
      <c r="W39" s="23">
        <f t="shared" si="16"/>
        <v>2.5265798072065304E-2</v>
      </c>
      <c r="X39" s="23">
        <f t="shared" si="30"/>
        <v>2.660099796942535E-2</v>
      </c>
      <c r="Y39" s="23">
        <f t="shared" si="31"/>
        <v>-2.4493906288769463E-2</v>
      </c>
      <c r="Z39" s="26">
        <f t="shared" si="17"/>
        <v>-0.10361112255153745</v>
      </c>
      <c r="AA39" s="23">
        <f t="shared" si="18"/>
        <v>-5.9364800328158411</v>
      </c>
      <c r="AB39" s="24">
        <f t="shared" si="32"/>
        <v>2.4255573663209296E-2</v>
      </c>
      <c r="AD39" s="33">
        <f t="shared" si="33"/>
        <v>0.87643706818908274</v>
      </c>
      <c r="AE39" s="33">
        <f t="shared" si="19"/>
        <v>50.216145016053979</v>
      </c>
      <c r="AF39" s="33">
        <f t="shared" si="20"/>
        <v>-3.7724421919179685E-3</v>
      </c>
      <c r="AG39" s="33">
        <f t="shared" si="34"/>
        <v>5.657089814325332E-2</v>
      </c>
      <c r="AH39" s="33">
        <f t="shared" si="35"/>
        <v>3.4167365878245981E-3</v>
      </c>
      <c r="AI39" s="35">
        <f t="shared" si="2"/>
        <v>-0.10561399558560983</v>
      </c>
      <c r="AJ39" s="33">
        <f t="shared" si="21"/>
        <v>-6.0512362045687507</v>
      </c>
      <c r="AK39" s="37">
        <f t="shared" si="36"/>
        <v>-3.4637315772185762E-3</v>
      </c>
      <c r="AM39" s="41">
        <f t="shared" si="22"/>
        <v>0.68624144599976766</v>
      </c>
      <c r="AN39" s="41">
        <f t="shared" si="37"/>
        <v>39.318738582741474</v>
      </c>
      <c r="AO39" s="42">
        <f t="shared" si="23"/>
        <v>-0.68624144599976766</v>
      </c>
      <c r="AP39" s="41">
        <f t="shared" si="38"/>
        <v>-0.33891236287449172</v>
      </c>
      <c r="AQ39" s="41">
        <f t="shared" si="39"/>
        <v>1.7267128914619234</v>
      </c>
      <c r="AR39" s="43">
        <f t="shared" si="3"/>
        <v>-5.1357015685357528</v>
      </c>
      <c r="AS39" s="41">
        <f t="shared" si="4"/>
        <v>-294.25402471581555</v>
      </c>
      <c r="AU39" s="48">
        <f t="shared" si="40"/>
        <v>-1.7574841969205659</v>
      </c>
      <c r="AV39" s="48">
        <f t="shared" si="24"/>
        <v>-100.69642704448729</v>
      </c>
      <c r="AW39" s="49">
        <f t="shared" si="25"/>
        <v>-3.3782173716151869</v>
      </c>
      <c r="AX39" s="48">
        <f t="shared" si="41"/>
        <v>-2.6496365763820511</v>
      </c>
      <c r="AY39" s="48">
        <f t="shared" si="42"/>
        <v>23.49147869022481</v>
      </c>
      <c r="AZ39" s="50">
        <f t="shared" si="26"/>
        <v>0.37524578917878088</v>
      </c>
      <c r="BA39" s="48">
        <f t="shared" si="27"/>
        <v>21.5</v>
      </c>
      <c r="BB39" s="52">
        <f t="shared" si="43"/>
        <v>-3.0086027394645978</v>
      </c>
      <c r="BC39" s="44">
        <f t="shared" si="28"/>
        <v>-1.7574841969205659</v>
      </c>
    </row>
    <row r="40" spans="1:55" x14ac:dyDescent="0.3">
      <c r="A40" s="33" t="s">
        <v>33</v>
      </c>
      <c r="B40" s="33">
        <f>0.5*$B$4*$B$5^2*B36</f>
        <v>-0.72792323012499993</v>
      </c>
      <c r="D40">
        <f t="shared" si="46"/>
        <v>0.38000000000000017</v>
      </c>
      <c r="F40" s="5">
        <f t="shared" si="44"/>
        <v>0.49827764480639697</v>
      </c>
      <c r="G40" s="6">
        <f t="shared" si="7"/>
        <v>28.549206073125269</v>
      </c>
      <c r="I40" s="9">
        <f t="shared" si="8"/>
        <v>0.50184173906259266</v>
      </c>
      <c r="J40" s="9">
        <f t="shared" si="9"/>
        <v>28.753413631792103</v>
      </c>
      <c r="K40" s="9">
        <f t="shared" si="10"/>
        <v>-6.0359012715033646</v>
      </c>
      <c r="L40" s="9">
        <f t="shared" si="11"/>
        <v>-0.1053463505130459</v>
      </c>
      <c r="M40" s="11">
        <f t="shared" si="0"/>
        <v>0.82582388448393607</v>
      </c>
      <c r="O40" s="15">
        <f t="shared" si="12"/>
        <v>0.85400525880664102</v>
      </c>
      <c r="P40" s="15">
        <f t="shared" si="13"/>
        <v>48.930897011598113</v>
      </c>
      <c r="Q40" s="15">
        <v>-6.0359012715033602</v>
      </c>
      <c r="R40" s="15">
        <f t="shared" si="14"/>
        <v>-0.10534635051304582</v>
      </c>
      <c r="S40" s="16">
        <f t="shared" si="1"/>
        <v>4.1554476916654259E-2</v>
      </c>
      <c r="U40" s="23">
        <f t="shared" si="29"/>
        <v>0.84764138366173158</v>
      </c>
      <c r="V40" s="23">
        <f t="shared" si="15"/>
        <v>48.566273824446597</v>
      </c>
      <c r="W40" s="23">
        <f t="shared" si="16"/>
        <v>2.5023242335433182E-2</v>
      </c>
      <c r="X40" s="23">
        <f t="shared" si="30"/>
        <v>2.6851230392779681E-2</v>
      </c>
      <c r="Y40" s="23">
        <f t="shared" si="31"/>
        <v>-2.4255573663212182E-2</v>
      </c>
      <c r="Z40" s="26">
        <f t="shared" si="17"/>
        <v>-0.10362766758810966</v>
      </c>
      <c r="AA40" s="23">
        <f t="shared" si="18"/>
        <v>-5.9374279935833192</v>
      </c>
      <c r="AB40" s="24">
        <f t="shared" si="32"/>
        <v>2.4020623657633466E-2</v>
      </c>
      <c r="AD40" s="33">
        <f t="shared" si="33"/>
        <v>0.8764024308733106</v>
      </c>
      <c r="AE40" s="33">
        <f t="shared" si="19"/>
        <v>50.214160444046577</v>
      </c>
      <c r="AF40" s="33">
        <f t="shared" si="20"/>
        <v>-3.7378048761458338E-3</v>
      </c>
      <c r="AG40" s="33">
        <f t="shared" si="34"/>
        <v>5.6533520094491863E-2</v>
      </c>
      <c r="AH40" s="33">
        <f t="shared" si="35"/>
        <v>3.4637315772134691E-3</v>
      </c>
      <c r="AI40" s="35">
        <f t="shared" si="2"/>
        <v>-0.10560874909457812</v>
      </c>
      <c r="AJ40" s="33">
        <f t="shared" si="21"/>
        <v>-6.0509356027753807</v>
      </c>
      <c r="AK40" s="37">
        <f t="shared" si="36"/>
        <v>-3.4833813062919994E-3</v>
      </c>
      <c r="AM40" s="41">
        <f t="shared" si="22"/>
        <v>0.668666604030562</v>
      </c>
      <c r="AN40" s="41">
        <f t="shared" si="37"/>
        <v>38.311774312296606</v>
      </c>
      <c r="AO40" s="42">
        <f t="shared" si="23"/>
        <v>-0.668666604030562</v>
      </c>
      <c r="AP40" s="41">
        <f t="shared" si="38"/>
        <v>-0.34559902891479732</v>
      </c>
      <c r="AQ40" s="41">
        <f t="shared" si="39"/>
        <v>1.7574841969205668</v>
      </c>
      <c r="AR40" s="43">
        <f t="shared" si="3"/>
        <v>-4.9291818433850532</v>
      </c>
      <c r="AS40" s="41">
        <f t="shared" si="4"/>
        <v>-282.4213160784787</v>
      </c>
      <c r="AU40" s="48">
        <f t="shared" si="40"/>
        <v>-1.7875702243152118</v>
      </c>
      <c r="AV40" s="48">
        <f t="shared" si="24"/>
        <v>-102.42022943651548</v>
      </c>
      <c r="AW40" s="49">
        <f t="shared" si="25"/>
        <v>-3.1416116190698413</v>
      </c>
      <c r="AX40" s="48">
        <f t="shared" si="41"/>
        <v>-2.6810526925727496</v>
      </c>
      <c r="AY40" s="48">
        <f t="shared" si="42"/>
        <v>23.660575254534553</v>
      </c>
      <c r="AZ40" s="50">
        <f t="shared" si="26"/>
        <v>0.37524578917878088</v>
      </c>
      <c r="BA40" s="48">
        <f t="shared" si="27"/>
        <v>21.5</v>
      </c>
      <c r="BB40" s="52">
        <f t="shared" si="43"/>
        <v>-2.9416010497438649</v>
      </c>
      <c r="BC40" s="44">
        <f t="shared" si="28"/>
        <v>-1.7875702243152118</v>
      </c>
    </row>
    <row r="41" spans="1:55" x14ac:dyDescent="0.3">
      <c r="D41">
        <f t="shared" si="46"/>
        <v>0.39000000000000018</v>
      </c>
      <c r="F41" s="5">
        <f t="shared" si="44"/>
        <v>0.50652310206578555</v>
      </c>
      <c r="G41" s="6">
        <f t="shared" si="7"/>
        <v>29.021635974243743</v>
      </c>
      <c r="I41" s="9">
        <f t="shared" si="8"/>
        <v>0.510099977907432</v>
      </c>
      <c r="J41" s="9">
        <f t="shared" si="9"/>
        <v>29.226575863812389</v>
      </c>
      <c r="K41" s="9">
        <f t="shared" si="10"/>
        <v>-6.0359012715033646</v>
      </c>
      <c r="L41" s="9">
        <f t="shared" si="11"/>
        <v>-0.1053463505130459</v>
      </c>
      <c r="M41" s="11">
        <f t="shared" si="0"/>
        <v>0.80743275728513231</v>
      </c>
      <c r="O41" s="15">
        <f t="shared" si="12"/>
        <v>0.85442080357580752</v>
      </c>
      <c r="P41" s="15">
        <f t="shared" si="13"/>
        <v>48.954705973070091</v>
      </c>
      <c r="Q41" s="15">
        <v>-6.0359012715033602</v>
      </c>
      <c r="R41" s="15">
        <f t="shared" si="14"/>
        <v>-0.10534635051304582</v>
      </c>
      <c r="S41" s="16">
        <f t="shared" si="1"/>
        <v>4.0629057241815092E-2</v>
      </c>
      <c r="U41" s="23">
        <f t="shared" si="29"/>
        <v>0.84788158989830786</v>
      </c>
      <c r="V41" s="23">
        <f t="shared" si="15"/>
        <v>48.580036628015137</v>
      </c>
      <c r="W41" s="23">
        <f t="shared" si="16"/>
        <v>2.4783036098856903E-2</v>
      </c>
      <c r="X41" s="23">
        <f t="shared" si="30"/>
        <v>2.709906075376825E-2</v>
      </c>
      <c r="Y41" s="23">
        <f t="shared" si="31"/>
        <v>-2.4020623657627915E-2</v>
      </c>
      <c r="Z41" s="26">
        <f t="shared" si="17"/>
        <v>-0.10364409058696217</v>
      </c>
      <c r="AA41" s="23">
        <f t="shared" si="18"/>
        <v>-5.9383689621045157</v>
      </c>
      <c r="AB41" s="24">
        <f t="shared" si="32"/>
        <v>2.3788654647776575E-2</v>
      </c>
      <c r="AD41" s="33">
        <f t="shared" si="33"/>
        <v>0.87636759706024769</v>
      </c>
      <c r="AE41" s="33">
        <f t="shared" si="19"/>
        <v>50.212164613573727</v>
      </c>
      <c r="AF41" s="33">
        <f t="shared" si="20"/>
        <v>-3.7029710630829271E-3</v>
      </c>
      <c r="AG41" s="33">
        <f t="shared" si="34"/>
        <v>5.6496490383861037E-2</v>
      </c>
      <c r="AH41" s="33">
        <f t="shared" si="35"/>
        <v>3.4833813062906671E-3</v>
      </c>
      <c r="AI41" s="35">
        <f t="shared" si="2"/>
        <v>-0.10560445554808767</v>
      </c>
      <c r="AJ41" s="33">
        <f t="shared" si="21"/>
        <v>-6.0506896006823343</v>
      </c>
      <c r="AK41" s="37">
        <f t="shared" si="36"/>
        <v>-3.485013534721082E-3</v>
      </c>
      <c r="AM41" s="41">
        <f t="shared" si="22"/>
        <v>0.65079090178740984</v>
      </c>
      <c r="AN41" s="41">
        <f t="shared" si="37"/>
        <v>37.287572017931446</v>
      </c>
      <c r="AO41" s="42">
        <f t="shared" si="23"/>
        <v>-0.65079090178740984</v>
      </c>
      <c r="AP41" s="41">
        <f t="shared" si="38"/>
        <v>-0.35210693793267145</v>
      </c>
      <c r="AQ41" s="41">
        <f t="shared" si="39"/>
        <v>1.7875702243152158</v>
      </c>
      <c r="AR41" s="43">
        <f t="shared" si="3"/>
        <v>-4.7203387935588825</v>
      </c>
      <c r="AS41" s="41">
        <f t="shared" si="4"/>
        <v>-270.45549074279876</v>
      </c>
      <c r="AU41" s="48">
        <f t="shared" si="40"/>
        <v>-1.8169862348126504</v>
      </c>
      <c r="AV41" s="48">
        <f t="shared" si="24"/>
        <v>-104.10564268813124</v>
      </c>
      <c r="AW41" s="49">
        <f t="shared" si="25"/>
        <v>-2.9033525587462323</v>
      </c>
      <c r="AX41" s="48">
        <f t="shared" si="41"/>
        <v>-2.7100862181602121</v>
      </c>
      <c r="AY41" s="48">
        <f t="shared" si="42"/>
        <v>23.825906032360898</v>
      </c>
      <c r="AZ41" s="50">
        <f t="shared" si="26"/>
        <v>0.37524578917878088</v>
      </c>
      <c r="BA41" s="48">
        <f t="shared" si="27"/>
        <v>21.5</v>
      </c>
      <c r="BB41" s="52">
        <f t="shared" si="43"/>
        <v>-2.8760914900297117</v>
      </c>
      <c r="BC41" s="44">
        <f t="shared" si="28"/>
        <v>-1.8169862348126504</v>
      </c>
    </row>
    <row r="42" spans="1:55" x14ac:dyDescent="0.3">
      <c r="A42" s="41" t="s">
        <v>38</v>
      </c>
      <c r="B42" s="41"/>
      <c r="D42">
        <f t="shared" si="46"/>
        <v>0.40000000000000019</v>
      </c>
      <c r="F42" s="5">
        <f t="shared" si="44"/>
        <v>0.51458696229100331</v>
      </c>
      <c r="G42" s="6">
        <f t="shared" si="7"/>
        <v>29.483661131732134</v>
      </c>
      <c r="I42" s="9">
        <f t="shared" si="8"/>
        <v>0.51817430548028331</v>
      </c>
      <c r="J42" s="9">
        <f t="shared" si="9"/>
        <v>29.689200756142878</v>
      </c>
      <c r="K42" s="9">
        <f t="shared" si="10"/>
        <v>-6.0359012715033646</v>
      </c>
      <c r="L42" s="9">
        <f t="shared" si="11"/>
        <v>-0.1053463505130459</v>
      </c>
      <c r="M42" s="11">
        <f t="shared" si="0"/>
        <v>0.78945120114136524</v>
      </c>
      <c r="O42" s="15">
        <f t="shared" si="12"/>
        <v>0.85482709414822566</v>
      </c>
      <c r="P42" s="15">
        <f t="shared" si="13"/>
        <v>48.977984708125604</v>
      </c>
      <c r="Q42" s="15">
        <v>-6.0359012715033602</v>
      </c>
      <c r="R42" s="15">
        <f t="shared" si="14"/>
        <v>-0.10534635051304582</v>
      </c>
      <c r="S42" s="16">
        <f t="shared" si="1"/>
        <v>3.9724246695958199E-2</v>
      </c>
      <c r="U42" s="23">
        <f t="shared" si="29"/>
        <v>0.84811947644478558</v>
      </c>
      <c r="V42" s="23">
        <f t="shared" si="15"/>
        <v>48.593666523131255</v>
      </c>
      <c r="W42" s="23">
        <f t="shared" si="16"/>
        <v>2.4545149552379186E-2</v>
      </c>
      <c r="X42" s="23">
        <f t="shared" si="30"/>
        <v>2.7344512249292043E-2</v>
      </c>
      <c r="Y42" s="23">
        <f t="shared" si="31"/>
        <v>-2.378865464777169E-2</v>
      </c>
      <c r="Z42" s="26">
        <f t="shared" si="17"/>
        <v>-0.10366038033010361</v>
      </c>
      <c r="AA42" s="23">
        <f t="shared" si="18"/>
        <v>-5.9393022956358719</v>
      </c>
      <c r="AB42" s="24">
        <f t="shared" si="32"/>
        <v>2.3559393297494013E-2</v>
      </c>
      <c r="AD42" s="33">
        <f t="shared" si="33"/>
        <v>0.87633274692490049</v>
      </c>
      <c r="AE42" s="33">
        <f t="shared" si="19"/>
        <v>50.210167847902866</v>
      </c>
      <c r="AF42" s="33">
        <f t="shared" si="20"/>
        <v>-3.6681209277357185E-3</v>
      </c>
      <c r="AG42" s="33">
        <f t="shared" si="34"/>
        <v>5.6459809174583681E-2</v>
      </c>
      <c r="AH42" s="33">
        <f t="shared" si="35"/>
        <v>3.48501353472086E-3</v>
      </c>
      <c r="AI42" s="35">
        <f t="shared" si="2"/>
        <v>-0.10560080156136953</v>
      </c>
      <c r="AJ42" s="33">
        <f t="shared" si="21"/>
        <v>-6.050480242664988</v>
      </c>
      <c r="AK42" s="37">
        <f t="shared" si="36"/>
        <v>-3.4748108283866319E-3</v>
      </c>
      <c r="AM42" s="41">
        <f t="shared" si="22"/>
        <v>0.63262103943928338</v>
      </c>
      <c r="AN42" s="41">
        <f t="shared" si="37"/>
        <v>36.246515591050134</v>
      </c>
      <c r="AO42" s="42">
        <f t="shared" si="23"/>
        <v>-0.63262103943928338</v>
      </c>
      <c r="AP42" s="41">
        <f t="shared" si="38"/>
        <v>-0.3584331483270643</v>
      </c>
      <c r="AQ42" s="41">
        <f t="shared" si="39"/>
        <v>1.8169862348126453</v>
      </c>
      <c r="AR42" s="43">
        <f t="shared" si="3"/>
        <v>-4.5092241595801887</v>
      </c>
      <c r="AS42" s="41">
        <f t="shared" si="4"/>
        <v>-258.35951322237042</v>
      </c>
      <c r="AU42" s="48">
        <f t="shared" si="40"/>
        <v>-1.8457471497129476</v>
      </c>
      <c r="AV42" s="48">
        <f t="shared" si="24"/>
        <v>-105.75352172685319</v>
      </c>
      <c r="AW42" s="49">
        <f t="shared" si="25"/>
        <v>-2.6634770098672411</v>
      </c>
      <c r="AX42" s="48">
        <f t="shared" si="41"/>
        <v>-2.7367209882588845</v>
      </c>
      <c r="AY42" s="48">
        <f t="shared" si="42"/>
        <v>23.987554887899119</v>
      </c>
      <c r="AZ42" s="50">
        <f t="shared" si="26"/>
        <v>0.37524578917878088</v>
      </c>
      <c r="BA42" s="48">
        <f t="shared" si="27"/>
        <v>21.5</v>
      </c>
      <c r="BB42" s="52">
        <f t="shared" si="43"/>
        <v>-2.8120408305339666</v>
      </c>
      <c r="BC42" s="44">
        <f t="shared" si="28"/>
        <v>-1.8457471497129476</v>
      </c>
    </row>
    <row r="43" spans="1:55" x14ac:dyDescent="0.3">
      <c r="A43" s="41"/>
      <c r="B43" s="41"/>
      <c r="D43">
        <f t="shared" si="46"/>
        <v>0.4100000000000002</v>
      </c>
      <c r="F43" s="5">
        <f t="shared" si="44"/>
        <v>0.52247322495494575</v>
      </c>
      <c r="G43" s="6">
        <f t="shared" si="7"/>
        <v>29.935510698507631</v>
      </c>
      <c r="I43" s="9">
        <f t="shared" si="8"/>
        <v>0.52606881749169698</v>
      </c>
      <c r="J43" s="9">
        <f t="shared" si="9"/>
        <v>30.141522975712217</v>
      </c>
      <c r="K43" s="9">
        <f t="shared" si="10"/>
        <v>-6.0359012715033646</v>
      </c>
      <c r="L43" s="9">
        <f t="shared" si="11"/>
        <v>-0.1053463505130459</v>
      </c>
      <c r="M43" s="11">
        <f t="shared" si="0"/>
        <v>0.77187009489071179</v>
      </c>
      <c r="O43" s="15">
        <f t="shared" si="12"/>
        <v>0.85522433661518527</v>
      </c>
      <c r="P43" s="15">
        <f t="shared" si="13"/>
        <v>49.000745024925749</v>
      </c>
      <c r="Q43" s="15">
        <v>-6.0359012715033602</v>
      </c>
      <c r="R43" s="15">
        <f t="shared" si="14"/>
        <v>-0.10534635051304582</v>
      </c>
      <c r="S43" s="16">
        <f t="shared" si="1"/>
        <v>3.8839586313049956E-2</v>
      </c>
      <c r="U43" s="23">
        <f t="shared" si="29"/>
        <v>0.84835507037776048</v>
      </c>
      <c r="V43" s="23">
        <f t="shared" si="15"/>
        <v>48.607165061169603</v>
      </c>
      <c r="W43" s="23">
        <f t="shared" si="16"/>
        <v>2.4309555619404288E-2</v>
      </c>
      <c r="X43" s="23">
        <f t="shared" si="30"/>
        <v>2.7587607805486088E-2</v>
      </c>
      <c r="Y43" s="23">
        <f t="shared" si="31"/>
        <v>-2.3559393297489795E-2</v>
      </c>
      <c r="Z43" s="26">
        <f t="shared" si="17"/>
        <v>-0.1036765298832933</v>
      </c>
      <c r="AA43" s="23">
        <f t="shared" si="18"/>
        <v>-5.9402275968746636</v>
      </c>
      <c r="AB43" s="24">
        <f t="shared" si="32"/>
        <v>2.333265138438767E-2</v>
      </c>
      <c r="AD43" s="33">
        <f t="shared" si="33"/>
        <v>0.87629799881661663</v>
      </c>
      <c r="AE43" s="33">
        <f t="shared" si="19"/>
        <v>50.208176927952138</v>
      </c>
      <c r="AF43" s="33">
        <f t="shared" si="20"/>
        <v>-3.6333728194518633E-3</v>
      </c>
      <c r="AG43" s="33">
        <f t="shared" si="34"/>
        <v>5.6423475446389162E-2</v>
      </c>
      <c r="AH43" s="33">
        <f t="shared" si="35"/>
        <v>3.4748108283855217E-3</v>
      </c>
      <c r="AI43" s="35">
        <f t="shared" si="2"/>
        <v>-0.10559757930801653</v>
      </c>
      <c r="AJ43" s="33">
        <f t="shared" si="21"/>
        <v>-6.0502956211473391</v>
      </c>
      <c r="AK43" s="37">
        <f t="shared" si="36"/>
        <v>-3.4568707288138434E-3</v>
      </c>
      <c r="AM43" s="41">
        <f t="shared" si="22"/>
        <v>0.61416356794215388</v>
      </c>
      <c r="AN43" s="41">
        <f t="shared" si="37"/>
        <v>35.188980373781604</v>
      </c>
      <c r="AO43" s="42">
        <f t="shared" si="23"/>
        <v>-0.61416356794215388</v>
      </c>
      <c r="AP43" s="41">
        <f t="shared" si="38"/>
        <v>-0.36457478400648585</v>
      </c>
      <c r="AQ43" s="41">
        <f t="shared" si="39"/>
        <v>1.8457471497129507</v>
      </c>
      <c r="AR43" s="43">
        <f t="shared" si="3"/>
        <v>-4.2958885297085878</v>
      </c>
      <c r="AS43" s="41">
        <f t="shared" si="4"/>
        <v>-246.13628201096265</v>
      </c>
      <c r="AU43" s="48">
        <f t="shared" si="40"/>
        <v>-1.8738675580182873</v>
      </c>
      <c r="AV43" s="48">
        <f t="shared" si="24"/>
        <v>-107.36470244093378</v>
      </c>
      <c r="AW43" s="49">
        <f t="shared" si="25"/>
        <v>-2.4220209716903005</v>
      </c>
      <c r="AX43" s="48">
        <f t="shared" si="41"/>
        <v>-2.7609411979757876</v>
      </c>
      <c r="AY43" s="48">
        <f t="shared" si="42"/>
        <v>24.14560381769406</v>
      </c>
      <c r="AZ43" s="50">
        <f t="shared" si="26"/>
        <v>0.37524578917878088</v>
      </c>
      <c r="BA43" s="48">
        <f t="shared" si="27"/>
        <v>21.5</v>
      </c>
      <c r="BB43" s="52">
        <f t="shared" si="43"/>
        <v>-2.7494165814970204</v>
      </c>
      <c r="BC43" s="44">
        <f t="shared" si="28"/>
        <v>-1.8738675580182873</v>
      </c>
    </row>
    <row r="44" spans="1:55" x14ac:dyDescent="0.3">
      <c r="A44" s="41" t="s">
        <v>41</v>
      </c>
      <c r="B44" s="41">
        <v>60</v>
      </c>
      <c r="D44">
        <f t="shared" si="46"/>
        <v>0.42000000000000021</v>
      </c>
      <c r="F44" s="5">
        <f t="shared" si="44"/>
        <v>0.53018580144656169</v>
      </c>
      <c r="G44" s="6">
        <f t="shared" si="7"/>
        <v>30.377408780649041</v>
      </c>
      <c r="I44" s="9">
        <f t="shared" si="8"/>
        <v>0.53378751844060413</v>
      </c>
      <c r="J44" s="9">
        <f t="shared" si="9"/>
        <v>30.583771963408218</v>
      </c>
      <c r="K44" s="9">
        <f t="shared" si="10"/>
        <v>-6.0359012715033646</v>
      </c>
      <c r="L44" s="9">
        <f t="shared" si="11"/>
        <v>-0.1053463505130459</v>
      </c>
      <c r="M44" s="11">
        <f t="shared" si="0"/>
        <v>0.75468052049984902</v>
      </c>
      <c r="O44" s="15">
        <f t="shared" si="12"/>
        <v>0.85561273247831582</v>
      </c>
      <c r="P44" s="15">
        <f t="shared" si="13"/>
        <v>49.022998468663474</v>
      </c>
      <c r="Q44" s="15">
        <v>-6.0359012715033602</v>
      </c>
      <c r="R44" s="15">
        <f t="shared" si="14"/>
        <v>-0.10534635051304582</v>
      </c>
      <c r="S44" s="16">
        <f t="shared" si="1"/>
        <v>3.7974627348247747E-2</v>
      </c>
      <c r="U44" s="23">
        <f t="shared" si="29"/>
        <v>0.84858839689160437</v>
      </c>
      <c r="V44" s="23">
        <f t="shared" si="15"/>
        <v>48.620533685661357</v>
      </c>
      <c r="W44" s="23">
        <f t="shared" si="16"/>
        <v>2.4076229105560398E-2</v>
      </c>
      <c r="X44" s="23">
        <f t="shared" si="30"/>
        <v>2.7828370096541693E-2</v>
      </c>
      <c r="Y44" s="23">
        <f t="shared" si="31"/>
        <v>-2.3332651384389003E-2</v>
      </c>
      <c r="Z44" s="26">
        <f t="shared" si="17"/>
        <v>-0.10369253514728224</v>
      </c>
      <c r="AA44" s="23">
        <f t="shared" si="18"/>
        <v>-5.9411446309512224</v>
      </c>
      <c r="AB44" s="24">
        <f t="shared" si="32"/>
        <v>2.3108297177644399E-2</v>
      </c>
      <c r="AD44" s="33">
        <f t="shared" si="33"/>
        <v>0.8762634301093285</v>
      </c>
      <c r="AE44" s="33">
        <f t="shared" si="19"/>
        <v>50.206196286921305</v>
      </c>
      <c r="AF44" s="33">
        <f t="shared" si="20"/>
        <v>-3.5988041121637337E-3</v>
      </c>
      <c r="AG44" s="33">
        <f t="shared" si="34"/>
        <v>5.6387487405267528E-2</v>
      </c>
      <c r="AH44" s="33">
        <f t="shared" si="35"/>
        <v>3.4568707288129552E-3</v>
      </c>
      <c r="AI44" s="35">
        <f t="shared" si="2"/>
        <v>-0.10559465093985165</v>
      </c>
      <c r="AJ44" s="33">
        <f t="shared" si="21"/>
        <v>-6.0501278380106314</v>
      </c>
      <c r="AK44" s="37">
        <f t="shared" si="36"/>
        <v>-3.4339085682402182E-3</v>
      </c>
      <c r="AM44" s="41">
        <f t="shared" si="22"/>
        <v>0.59542489236197105</v>
      </c>
      <c r="AN44" s="41">
        <f t="shared" si="37"/>
        <v>34.115333349372271</v>
      </c>
      <c r="AO44" s="42">
        <f t="shared" si="23"/>
        <v>-0.59542489236197105</v>
      </c>
      <c r="AP44" s="41">
        <f t="shared" si="38"/>
        <v>-0.37052903293010558</v>
      </c>
      <c r="AQ44" s="41">
        <f t="shared" si="39"/>
        <v>1.8738675580182829</v>
      </c>
      <c r="AR44" s="43">
        <f t="shared" si="3"/>
        <v>-4.0803813656014274</v>
      </c>
      <c r="AS44" s="41">
        <f t="shared" si="4"/>
        <v>-233.78863105278913</v>
      </c>
      <c r="AU44" s="48">
        <f t="shared" si="40"/>
        <v>-1.9013617238332574</v>
      </c>
      <c r="AV44" s="48">
        <f t="shared" si="24"/>
        <v>-108.94000210336444</v>
      </c>
      <c r="AW44" s="49">
        <f t="shared" si="25"/>
        <v>-2.17901964176817</v>
      </c>
      <c r="AX44" s="48">
        <f t="shared" si="41"/>
        <v>-2.7827313943934695</v>
      </c>
      <c r="AY44" s="48">
        <f t="shared" si="42"/>
        <v>24.300132992213051</v>
      </c>
      <c r="AZ44" s="50">
        <f t="shared" si="26"/>
        <v>0.37524578917878088</v>
      </c>
      <c r="BA44" s="48">
        <f t="shared" si="27"/>
        <v>21.5</v>
      </c>
      <c r="BB44" s="52">
        <f t="shared" si="43"/>
        <v>-2.6881869767073621</v>
      </c>
      <c r="BC44" s="44">
        <f t="shared" si="28"/>
        <v>-1.9013617238332574</v>
      </c>
    </row>
    <row r="45" spans="1:55" x14ac:dyDescent="0.3">
      <c r="A45" s="41" t="s">
        <v>42</v>
      </c>
      <c r="B45" s="41">
        <f>RADIANS($B$44)</f>
        <v>1.0471975511965976</v>
      </c>
      <c r="D45">
        <f t="shared" si="46"/>
        <v>0.43000000000000022</v>
      </c>
      <c r="F45" s="5">
        <f t="shared" si="44"/>
        <v>0.53772851701080504</v>
      </c>
      <c r="G45" s="6">
        <f t="shared" si="7"/>
        <v>30.809574548547822</v>
      </c>
      <c r="I45" s="9">
        <f t="shared" si="8"/>
        <v>0.54133432364560263</v>
      </c>
      <c r="J45" s="9">
        <f t="shared" si="9"/>
        <v>31.016172050461996</v>
      </c>
      <c r="K45" s="9">
        <f t="shared" si="10"/>
        <v>-6.0359012715033646</v>
      </c>
      <c r="L45" s="9">
        <f t="shared" si="11"/>
        <v>-0.1053463505130459</v>
      </c>
      <c r="M45" s="11">
        <f t="shared" si="0"/>
        <v>0.73787375854037185</v>
      </c>
      <c r="O45" s="15">
        <f t="shared" si="12"/>
        <v>0.85599247875179829</v>
      </c>
      <c r="P45" s="15">
        <f t="shared" si="13"/>
        <v>49.04475632741984</v>
      </c>
      <c r="Q45" s="15">
        <v>-6.0359012715033602</v>
      </c>
      <c r="R45" s="15">
        <f t="shared" si="14"/>
        <v>-0.10534635051304582</v>
      </c>
      <c r="S45" s="16">
        <f t="shared" si="1"/>
        <v>3.712893105027093E-2</v>
      </c>
      <c r="U45" s="23">
        <f t="shared" si="29"/>
        <v>0.8488194798633808</v>
      </c>
      <c r="V45" s="23">
        <f t="shared" si="15"/>
        <v>48.633773764661484</v>
      </c>
      <c r="W45" s="23">
        <f t="shared" si="16"/>
        <v>2.3845146133783968E-2</v>
      </c>
      <c r="X45" s="23">
        <f t="shared" si="30"/>
        <v>2.8066821557879533E-2</v>
      </c>
      <c r="Y45" s="23">
        <f t="shared" si="31"/>
        <v>-2.3108297177643067E-2</v>
      </c>
      <c r="Z45" s="26">
        <f t="shared" si="17"/>
        <v>-0.10370839389743879</v>
      </c>
      <c r="AA45" s="23">
        <f t="shared" si="18"/>
        <v>-5.9420532704035454</v>
      </c>
      <c r="AB45" s="24">
        <f t="shared" si="32"/>
        <v>2.288623646300092E-2</v>
      </c>
      <c r="AD45" s="33">
        <f t="shared" si="33"/>
        <v>0.8762290910236461</v>
      </c>
      <c r="AE45" s="33">
        <f t="shared" si="19"/>
        <v>50.204228802239371</v>
      </c>
      <c r="AF45" s="33">
        <f t="shared" si="20"/>
        <v>-3.5644650264813338E-3</v>
      </c>
      <c r="AG45" s="33">
        <f t="shared" si="34"/>
        <v>5.6351842755002712E-2</v>
      </c>
      <c r="AH45" s="33">
        <f t="shared" si="35"/>
        <v>3.4339085682399961E-3</v>
      </c>
      <c r="AI45" s="35">
        <f t="shared" si="2"/>
        <v>-0.10559192499988396</v>
      </c>
      <c r="AJ45" s="33">
        <f t="shared" si="21"/>
        <v>-6.0499716531552767</v>
      </c>
      <c r="AK45" s="37">
        <f t="shared" si="36"/>
        <v>-3.4077233847518151E-3</v>
      </c>
      <c r="AM45" s="41">
        <f t="shared" si="22"/>
        <v>0.57641127512363843</v>
      </c>
      <c r="AN45" s="41">
        <f t="shared" si="37"/>
        <v>33.025933328338624</v>
      </c>
      <c r="AO45" s="42">
        <f t="shared" si="23"/>
        <v>-0.57641127512363843</v>
      </c>
      <c r="AP45" s="41">
        <f t="shared" si="38"/>
        <v>-0.37629314568134198</v>
      </c>
      <c r="AQ45" s="41">
        <f t="shared" si="39"/>
        <v>1.9013617238332614</v>
      </c>
      <c r="AR45" s="43">
        <f t="shared" si="3"/>
        <v>-3.8627510274031227</v>
      </c>
      <c r="AS45" s="41">
        <f t="shared" si="4"/>
        <v>-221.31933118002152</v>
      </c>
      <c r="AU45" s="48">
        <f t="shared" si="40"/>
        <v>-1.928243593600331</v>
      </c>
      <c r="AV45" s="48">
        <f t="shared" si="24"/>
        <v>-110.48021978643808</v>
      </c>
      <c r="AW45" s="49">
        <f t="shared" si="25"/>
        <v>-1.9345074338027917</v>
      </c>
      <c r="AX45" s="48">
        <f t="shared" si="41"/>
        <v>-2.8020764687314976</v>
      </c>
      <c r="AY45" s="48">
        <f t="shared" si="42"/>
        <v>24.451220796537832</v>
      </c>
      <c r="AZ45" s="50">
        <f t="shared" si="26"/>
        <v>0.37524578917878088</v>
      </c>
      <c r="BA45" s="48">
        <f t="shared" si="27"/>
        <v>21.5</v>
      </c>
      <c r="BB45" s="52">
        <f t="shared" si="43"/>
        <v>-2.6283209573881363</v>
      </c>
      <c r="BC45" s="44">
        <f t="shared" si="28"/>
        <v>-1.928243593600331</v>
      </c>
    </row>
    <row r="46" spans="1:55" x14ac:dyDescent="0.3">
      <c r="A46" s="41" t="s">
        <v>43</v>
      </c>
      <c r="B46" s="41">
        <v>0</v>
      </c>
      <c r="D46">
        <f t="shared" si="46"/>
        <v>0.44000000000000022</v>
      </c>
      <c r="F46" s="5">
        <f t="shared" si="44"/>
        <v>0.54510511264585915</v>
      </c>
      <c r="G46" s="6">
        <f t="shared" si="7"/>
        <v>31.232222345611049</v>
      </c>
      <c r="I46" s="9">
        <f t="shared" si="8"/>
        <v>0.54871306123100638</v>
      </c>
      <c r="J46" s="9">
        <f t="shared" si="9"/>
        <v>31.438942572240183</v>
      </c>
      <c r="K46" s="9">
        <f t="shared" si="10"/>
        <v>-6.0359012715033646</v>
      </c>
      <c r="L46" s="9">
        <f t="shared" si="11"/>
        <v>-0.1053463505130459</v>
      </c>
      <c r="M46" s="11">
        <f t="shared" si="0"/>
        <v>0.72144128376585526</v>
      </c>
      <c r="O46" s="15">
        <f t="shared" si="12"/>
        <v>0.85636376806230097</v>
      </c>
      <c r="P46" s="15">
        <f t="shared" si="13"/>
        <v>49.066029637889969</v>
      </c>
      <c r="Q46" s="15">
        <v>-6.0359012715033602</v>
      </c>
      <c r="R46" s="15">
        <f t="shared" si="14"/>
        <v>-0.10534635051304582</v>
      </c>
      <c r="S46" s="16">
        <f t="shared" si="1"/>
        <v>3.6302068438846424E-2</v>
      </c>
      <c r="U46" s="23">
        <f t="shared" si="29"/>
        <v>0.84904834222801084</v>
      </c>
      <c r="V46" s="23">
        <f t="shared" si="15"/>
        <v>48.646886612244174</v>
      </c>
      <c r="W46" s="23">
        <f t="shared" si="16"/>
        <v>2.3616283769153923E-2</v>
      </c>
      <c r="X46" s="23">
        <f t="shared" si="30"/>
        <v>2.8302984395571072E-2</v>
      </c>
      <c r="Y46" s="23">
        <f t="shared" si="31"/>
        <v>-2.2886236463004472E-2</v>
      </c>
      <c r="Z46" s="26">
        <f t="shared" si="17"/>
        <v>-0.10372410514713497</v>
      </c>
      <c r="AA46" s="23">
        <f t="shared" si="18"/>
        <v>-5.9429534587020125</v>
      </c>
      <c r="AB46" s="24">
        <f t="shared" si="32"/>
        <v>2.2666399963016781E-2</v>
      </c>
      <c r="AD46" s="33">
        <f t="shared" si="33"/>
        <v>0.87619501378979858</v>
      </c>
      <c r="AE46" s="33">
        <f t="shared" si="19"/>
        <v>50.202276320562426</v>
      </c>
      <c r="AF46" s="33">
        <f t="shared" si="20"/>
        <v>-3.5303877926338156E-3</v>
      </c>
      <c r="AG46" s="33">
        <f t="shared" si="34"/>
        <v>5.6316538877076376E-2</v>
      </c>
      <c r="AH46" s="33">
        <f t="shared" si="35"/>
        <v>3.4077233847518151E-3</v>
      </c>
      <c r="AI46" s="35">
        <f t="shared" si="2"/>
        <v>-0.10558934078580888</v>
      </c>
      <c r="AJ46" s="33">
        <f t="shared" si="21"/>
        <v>-6.0498235885954159</v>
      </c>
      <c r="AK46" s="37">
        <f t="shared" si="36"/>
        <v>-3.3795067899984321E-3</v>
      </c>
      <c r="AM46" s="41">
        <f t="shared" si="22"/>
        <v>0.55712883918763512</v>
      </c>
      <c r="AN46" s="41">
        <f t="shared" si="37"/>
        <v>31.92113113047424</v>
      </c>
      <c r="AO46" s="42">
        <f t="shared" si="23"/>
        <v>-0.55712883918763512</v>
      </c>
      <c r="AP46" s="41">
        <f t="shared" si="38"/>
        <v>-0.38186443407321835</v>
      </c>
      <c r="AQ46" s="41">
        <f t="shared" si="39"/>
        <v>1.9282435936003317</v>
      </c>
      <c r="AR46" s="43">
        <f t="shared" si="3"/>
        <v>-3.6430447982760192</v>
      </c>
      <c r="AS46" s="41">
        <f t="shared" si="4"/>
        <v>-208.73109151830425</v>
      </c>
      <c r="AU46" s="48">
        <f t="shared" si="40"/>
        <v>-1.9545268031742125</v>
      </c>
      <c r="AV46" s="48">
        <f t="shared" si="24"/>
        <v>-111.98613676707933</v>
      </c>
      <c r="AW46" s="49">
        <f t="shared" si="25"/>
        <v>-1.6885179951018068</v>
      </c>
      <c r="AX46" s="48">
        <f t="shared" si="41"/>
        <v>-2.8189616486825155</v>
      </c>
      <c r="AY46" s="48">
        <f t="shared" si="42"/>
        <v>24.598943870098488</v>
      </c>
      <c r="AZ46" s="50">
        <f t="shared" si="26"/>
        <v>0.37524578917878088</v>
      </c>
      <c r="BA46" s="48">
        <f t="shared" si="27"/>
        <v>21.5</v>
      </c>
      <c r="BB46" s="52">
        <f t="shared" si="43"/>
        <v>-2.5697881564425531</v>
      </c>
      <c r="BC46" s="44">
        <f t="shared" si="28"/>
        <v>-1.9545268031742125</v>
      </c>
    </row>
    <row r="47" spans="1:55" x14ac:dyDescent="0.3">
      <c r="A47" s="41" t="s">
        <v>44</v>
      </c>
      <c r="B47" s="41">
        <f>RADIANS($B$46)</f>
        <v>0</v>
      </c>
      <c r="D47">
        <f t="shared" si="46"/>
        <v>0.45000000000000023</v>
      </c>
      <c r="F47" s="5">
        <f t="shared" si="44"/>
        <v>0.55231924695858003</v>
      </c>
      <c r="G47" s="6">
        <f t="shared" si="7"/>
        <v>31.645561794570465</v>
      </c>
      <c r="I47" s="9">
        <f t="shared" si="8"/>
        <v>0.55592747406866494</v>
      </c>
      <c r="J47" s="9">
        <f t="shared" si="9"/>
        <v>31.852297979503017</v>
      </c>
      <c r="K47" s="9">
        <f t="shared" si="10"/>
        <v>-6.0359012715033646</v>
      </c>
      <c r="L47" s="9">
        <f t="shared" si="11"/>
        <v>-0.1053463505130459</v>
      </c>
      <c r="M47" s="11">
        <f t="shared" si="0"/>
        <v>0.70537476078741501</v>
      </c>
      <c r="O47" s="15">
        <f t="shared" si="12"/>
        <v>0.85672678874668939</v>
      </c>
      <c r="P47" s="15">
        <f t="shared" si="13"/>
        <v>49.086829190981376</v>
      </c>
      <c r="Q47" s="15">
        <v>-6.0359012715033602</v>
      </c>
      <c r="R47" s="15">
        <f t="shared" si="14"/>
        <v>-0.10534635051304582</v>
      </c>
      <c r="S47" s="16">
        <f t="shared" si="1"/>
        <v>3.549362008710677E-2</v>
      </c>
      <c r="U47" s="23">
        <f t="shared" si="29"/>
        <v>0.84927500622764096</v>
      </c>
      <c r="V47" s="23">
        <f t="shared" si="15"/>
        <v>48.659873502790532</v>
      </c>
      <c r="W47" s="23">
        <f t="shared" si="16"/>
        <v>2.3389619769523806E-2</v>
      </c>
      <c r="X47" s="23">
        <f t="shared" si="30"/>
        <v>2.8536880593266312E-2</v>
      </c>
      <c r="Y47" s="23">
        <f t="shared" si="31"/>
        <v>-2.2666399963011674E-2</v>
      </c>
      <c r="Z47" s="26">
        <f t="shared" si="17"/>
        <v>-0.10373966872576518</v>
      </c>
      <c r="AA47" s="23">
        <f t="shared" si="18"/>
        <v>-5.943845186071643</v>
      </c>
      <c r="AB47" s="24">
        <f t="shared" si="32"/>
        <v>2.244873499702349E-2</v>
      </c>
      <c r="AD47" s="33">
        <f t="shared" si="33"/>
        <v>0.87616121872189856</v>
      </c>
      <c r="AE47" s="33">
        <f t="shared" si="19"/>
        <v>50.200340005803398</v>
      </c>
      <c r="AF47" s="33">
        <f t="shared" si="20"/>
        <v>-3.4965927247337936E-3</v>
      </c>
      <c r="AG47" s="33">
        <f t="shared" si="34"/>
        <v>5.6281572949829037E-2</v>
      </c>
      <c r="AH47" s="33">
        <f t="shared" si="35"/>
        <v>3.3795067900022069E-3</v>
      </c>
      <c r="AI47" s="35">
        <f t="shared" si="2"/>
        <v>-0.1055868579841405</v>
      </c>
      <c r="AJ47" s="33">
        <f t="shared" si="21"/>
        <v>-6.0496813345384499</v>
      </c>
      <c r="AK47" s="37">
        <f t="shared" si="36"/>
        <v>-3.3500477259043038E-3</v>
      </c>
      <c r="AM47" s="41">
        <f t="shared" si="22"/>
        <v>0.53758357115589295</v>
      </c>
      <c r="AN47" s="41">
        <f t="shared" si="37"/>
        <v>30.801269762803443</v>
      </c>
      <c r="AO47" s="42">
        <f t="shared" si="23"/>
        <v>-0.53758357115589295</v>
      </c>
      <c r="AP47" s="41">
        <f t="shared" si="38"/>
        <v>-0.38724026978477727</v>
      </c>
      <c r="AQ47" s="41">
        <f t="shared" si="39"/>
        <v>1.9545268031742169</v>
      </c>
      <c r="AR47" s="43">
        <f t="shared" si="3"/>
        <v>-3.4213089083847126</v>
      </c>
      <c r="AS47" s="41">
        <f t="shared" si="4"/>
        <v>-196.02656086095487</v>
      </c>
      <c r="AU47" s="48">
        <f t="shared" si="40"/>
        <v>-1.980224684738638</v>
      </c>
      <c r="AV47" s="48">
        <f t="shared" si="24"/>
        <v>-113.45851692314795</v>
      </c>
      <c r="AW47" s="49">
        <f t="shared" si="25"/>
        <v>-1.4410842236460746</v>
      </c>
      <c r="AX47" s="48">
        <f t="shared" si="41"/>
        <v>-2.8333724909189764</v>
      </c>
      <c r="AY47" s="48">
        <f t="shared" si="42"/>
        <v>24.74337714557322</v>
      </c>
      <c r="AZ47" s="50">
        <f t="shared" si="26"/>
        <v>0.37524578917878088</v>
      </c>
      <c r="BA47" s="48">
        <f t="shared" si="27"/>
        <v>21.5</v>
      </c>
      <c r="BB47" s="52">
        <f t="shared" si="43"/>
        <v>-2.5125588830501409</v>
      </c>
      <c r="BC47" s="44">
        <f t="shared" si="28"/>
        <v>-1.980224684738638</v>
      </c>
    </row>
    <row r="48" spans="1:55" x14ac:dyDescent="0.3">
      <c r="A48" s="41"/>
      <c r="B48" s="41"/>
      <c r="D48">
        <f t="shared" si="46"/>
        <v>0.46000000000000024</v>
      </c>
      <c r="F48" s="5">
        <f t="shared" si="44"/>
        <v>0.55937449797907257</v>
      </c>
      <c r="G48" s="6">
        <f t="shared" si="7"/>
        <v>32.049797901450056</v>
      </c>
      <c r="I48" s="9">
        <f t="shared" si="8"/>
        <v>0.56298122167653908</v>
      </c>
      <c r="J48" s="9">
        <f t="shared" si="9"/>
        <v>32.256447947184704</v>
      </c>
      <c r="K48" s="9">
        <f t="shared" si="10"/>
        <v>-6.0359012715033646</v>
      </c>
      <c r="L48" s="9">
        <f t="shared" si="11"/>
        <v>-0.1053463505130459</v>
      </c>
      <c r="M48" s="11">
        <f t="shared" si="0"/>
        <v>0.68966603984557162</v>
      </c>
      <c r="O48" s="15">
        <f t="shared" si="12"/>
        <v>0.85708172494756041</v>
      </c>
      <c r="P48" s="15">
        <f t="shared" si="13"/>
        <v>49.107165537287692</v>
      </c>
      <c r="Q48" s="15">
        <v>-6.0359012715033602</v>
      </c>
      <c r="R48" s="15">
        <f t="shared" si="14"/>
        <v>-0.10534635051304582</v>
      </c>
      <c r="S48" s="16">
        <f t="shared" si="1"/>
        <v>3.4703175908834982E-2</v>
      </c>
      <c r="U48" s="23">
        <f t="shared" si="29"/>
        <v>0.84949949357761123</v>
      </c>
      <c r="V48" s="23">
        <f t="shared" si="15"/>
        <v>48.672735680497908</v>
      </c>
      <c r="W48" s="23">
        <f t="shared" si="16"/>
        <v>2.3165132419553536E-2</v>
      </c>
      <c r="X48" s="23">
        <f t="shared" si="30"/>
        <v>2.8768531917461846E-2</v>
      </c>
      <c r="Y48" s="23">
        <f t="shared" si="31"/>
        <v>-2.2448734997027042E-2</v>
      </c>
      <c r="Z48" s="26">
        <f t="shared" si="17"/>
        <v>-0.10375508499904562</v>
      </c>
      <c r="AA48" s="23">
        <f t="shared" si="18"/>
        <v>-5.9447284734664327</v>
      </c>
      <c r="AB48" s="24">
        <f t="shared" si="32"/>
        <v>2.2233199951606331E-2</v>
      </c>
      <c r="AD48" s="33">
        <f t="shared" si="33"/>
        <v>0.87612771824463953</v>
      </c>
      <c r="AE48" s="33">
        <f t="shared" si="19"/>
        <v>50.198420569844778</v>
      </c>
      <c r="AF48" s="33">
        <f t="shared" si="20"/>
        <v>-3.4630922474747639E-3</v>
      </c>
      <c r="AG48" s="33">
        <f t="shared" si="34"/>
        <v>5.6246942027354287E-2</v>
      </c>
      <c r="AH48" s="33">
        <f t="shared" si="35"/>
        <v>3.3500477259029715E-3</v>
      </c>
      <c r="AI48" s="35">
        <f t="shared" si="2"/>
        <v>-0.10558444979838856</v>
      </c>
      <c r="AJ48" s="33">
        <f t="shared" si="21"/>
        <v>-6.0495433556585807</v>
      </c>
      <c r="AK48" s="37">
        <f t="shared" si="36"/>
        <v>-3.3198682033848126E-3</v>
      </c>
      <c r="AM48" s="41">
        <f t="shared" si="22"/>
        <v>0.51778132430850654</v>
      </c>
      <c r="AN48" s="41">
        <f t="shared" si="37"/>
        <v>29.666684593571965</v>
      </c>
      <c r="AO48" s="42">
        <f t="shared" si="23"/>
        <v>-0.51778132430850654</v>
      </c>
      <c r="AP48" s="41">
        <f t="shared" si="38"/>
        <v>-0.39241808302786235</v>
      </c>
      <c r="AQ48" s="41">
        <f t="shared" si="39"/>
        <v>1.9802246847386407</v>
      </c>
      <c r="AR48" s="43">
        <f t="shared" si="3"/>
        <v>-3.1975885583464247</v>
      </c>
      <c r="AS48" s="41">
        <f t="shared" si="4"/>
        <v>-183.20832901257151</v>
      </c>
      <c r="AU48" s="48">
        <f t="shared" si="40"/>
        <v>-2.0053502735691393</v>
      </c>
      <c r="AV48" s="48">
        <f t="shared" si="24"/>
        <v>-114.89810712091672</v>
      </c>
      <c r="AW48" s="49">
        <f t="shared" si="25"/>
        <v>-1.1922382847772854</v>
      </c>
      <c r="AX48" s="48">
        <f t="shared" si="41"/>
        <v>-2.8452948737667492</v>
      </c>
      <c r="AY48" s="48">
        <f t="shared" si="42"/>
        <v>24.884593886878914</v>
      </c>
      <c r="AZ48" s="50">
        <f t="shared" si="26"/>
        <v>0.37524578917878088</v>
      </c>
      <c r="BA48" s="48">
        <f t="shared" si="27"/>
        <v>21.5</v>
      </c>
      <c r="BB48" s="52">
        <f t="shared" si="43"/>
        <v>-2.456604107606057</v>
      </c>
      <c r="BC48" s="44">
        <f t="shared" si="28"/>
        <v>-2.0053502735691393</v>
      </c>
    </row>
    <row r="49" spans="1:55" x14ac:dyDescent="0.3">
      <c r="A49" s="48" t="s">
        <v>48</v>
      </c>
      <c r="B49" s="48"/>
      <c r="D49">
        <f t="shared" si="46"/>
        <v>0.47000000000000025</v>
      </c>
      <c r="F49" s="5">
        <f t="shared" si="44"/>
        <v>0.56627436493530436</v>
      </c>
      <c r="G49" s="6">
        <f t="shared" si="7"/>
        <v>32.445131157243914</v>
      </c>
      <c r="I49" s="9">
        <f t="shared" si="8"/>
        <v>0.56987788207499479</v>
      </c>
      <c r="J49" s="9">
        <f t="shared" si="9"/>
        <v>32.651597480751228</v>
      </c>
      <c r="K49" s="9">
        <f t="shared" si="10"/>
        <v>-6.0359012715033646</v>
      </c>
      <c r="L49" s="9">
        <f t="shared" si="11"/>
        <v>-0.1053463505130459</v>
      </c>
      <c r="M49" s="11">
        <f t="shared" si="0"/>
        <v>0.67430715267627961</v>
      </c>
      <c r="O49" s="15">
        <f t="shared" si="12"/>
        <v>0.85742875670664875</v>
      </c>
      <c r="P49" s="15">
        <f t="shared" si="13"/>
        <v>49.12704899244045</v>
      </c>
      <c r="Q49" s="15">
        <v>-6.0359012715033602</v>
      </c>
      <c r="R49" s="15">
        <f t="shared" si="14"/>
        <v>-0.10534635051304582</v>
      </c>
      <c r="S49" s="16">
        <f t="shared" si="1"/>
        <v>3.3930334950450058E-2</v>
      </c>
      <c r="U49" s="23">
        <f t="shared" si="29"/>
        <v>0.84972182557712728</v>
      </c>
      <c r="V49" s="23">
        <f t="shared" si="15"/>
        <v>48.685474365720879</v>
      </c>
      <c r="W49" s="23">
        <f t="shared" si="16"/>
        <v>2.294280042003749E-2</v>
      </c>
      <c r="X49" s="23">
        <f t="shared" si="30"/>
        <v>2.8997959921662222E-2</v>
      </c>
      <c r="Y49" s="23">
        <f t="shared" si="31"/>
        <v>-2.2233199951604554E-2</v>
      </c>
      <c r="Z49" s="26">
        <f t="shared" si="17"/>
        <v>-0.1037703546836414</v>
      </c>
      <c r="AA49" s="23">
        <f t="shared" si="18"/>
        <v>-5.9456033619482671</v>
      </c>
      <c r="AB49" s="24">
        <f t="shared" si="32"/>
        <v>2.2019760614381267E-2</v>
      </c>
      <c r="AD49" s="33">
        <f t="shared" si="33"/>
        <v>0.87609451956260564</v>
      </c>
      <c r="AE49" s="33">
        <f t="shared" si="19"/>
        <v>50.196518425478843</v>
      </c>
      <c r="AF49" s="33">
        <f t="shared" si="20"/>
        <v>-3.429893565440878E-3</v>
      </c>
      <c r="AG49" s="33">
        <f t="shared" si="34"/>
        <v>5.6212643091699876E-2</v>
      </c>
      <c r="AH49" s="33">
        <f t="shared" si="35"/>
        <v>3.3198682033885873E-3</v>
      </c>
      <c r="AI49" s="35">
        <f t="shared" si="2"/>
        <v>-0.10558209839353494</v>
      </c>
      <c r="AJ49" s="33">
        <f t="shared" si="21"/>
        <v>-6.0494086300845415</v>
      </c>
      <c r="AK49" s="37">
        <f t="shared" si="36"/>
        <v>-3.2893132871059105E-3</v>
      </c>
      <c r="AM49" s="41">
        <f t="shared" si="22"/>
        <v>0.49772782157281514</v>
      </c>
      <c r="AN49" s="41">
        <f t="shared" si="37"/>
        <v>28.517703522362794</v>
      </c>
      <c r="AO49" s="42">
        <f t="shared" si="23"/>
        <v>-0.49772782157281514</v>
      </c>
      <c r="AP49" s="41">
        <f t="shared" si="38"/>
        <v>-0.39739536124359048</v>
      </c>
      <c r="AQ49" s="41">
        <f t="shared" si="39"/>
        <v>2.0053502735691398</v>
      </c>
      <c r="AR49" s="43">
        <f t="shared" si="3"/>
        <v>-2.9719279421590121</v>
      </c>
      <c r="AS49" s="41">
        <f t="shared" si="4"/>
        <v>-170.27892810271123</v>
      </c>
      <c r="AU49" s="48">
        <f t="shared" si="40"/>
        <v>-2.0299163146451997</v>
      </c>
      <c r="AV49" s="48">
        <f t="shared" si="24"/>
        <v>-116.30563759392001</v>
      </c>
      <c r="AW49" s="49">
        <f t="shared" si="25"/>
        <v>-0.9420116275138124</v>
      </c>
      <c r="AX49" s="48">
        <f t="shared" si="41"/>
        <v>-2.8547149900418871</v>
      </c>
      <c r="AY49" s="48">
        <f t="shared" si="42"/>
        <v>25.022665726347302</v>
      </c>
      <c r="AZ49" s="50">
        <f t="shared" si="26"/>
        <v>0.37524578917878088</v>
      </c>
      <c r="BA49" s="48">
        <f t="shared" si="27"/>
        <v>21.5</v>
      </c>
      <c r="BB49" s="52">
        <f t="shared" si="43"/>
        <v>-2.4018954469957867</v>
      </c>
      <c r="BC49" s="44">
        <f t="shared" si="28"/>
        <v>-2.0299163146451997</v>
      </c>
    </row>
    <row r="50" spans="1:55" x14ac:dyDescent="0.3">
      <c r="A50" s="48" t="s">
        <v>30</v>
      </c>
      <c r="B50" s="48">
        <v>-2</v>
      </c>
      <c r="D50">
        <f t="shared" si="46"/>
        <v>0.48000000000000026</v>
      </c>
      <c r="F50" s="5">
        <f t="shared" si="44"/>
        <v>0.57302226998863526</v>
      </c>
      <c r="G50" s="6">
        <f t="shared" si="7"/>
        <v>32.831757637354777</v>
      </c>
      <c r="I50" s="9">
        <f t="shared" si="8"/>
        <v>0.57662095360175758</v>
      </c>
      <c r="J50" s="9">
        <f t="shared" si="9"/>
        <v>33.037947020189577</v>
      </c>
      <c r="K50" s="9">
        <f t="shared" si="10"/>
        <v>-6.0359012715033646</v>
      </c>
      <c r="L50" s="9">
        <f t="shared" si="11"/>
        <v>-0.1053463505130459</v>
      </c>
      <c r="M50" s="11">
        <f t="shared" si="0"/>
        <v>0.65929030846901582</v>
      </c>
      <c r="O50" s="15">
        <f t="shared" si="12"/>
        <v>0.85776806005615325</v>
      </c>
      <c r="P50" s="15">
        <f t="shared" si="13"/>
        <v>49.146489642341713</v>
      </c>
      <c r="Q50" s="15">
        <v>-6.0359012715033602</v>
      </c>
      <c r="R50" s="15">
        <f t="shared" si="14"/>
        <v>-0.10534635051304582</v>
      </c>
      <c r="S50" s="16">
        <f t="shared" si="1"/>
        <v>3.3174705187620335E-2</v>
      </c>
      <c r="U50" s="23">
        <f t="shared" si="29"/>
        <v>0.84994202318327106</v>
      </c>
      <c r="V50" s="23">
        <f t="shared" si="15"/>
        <v>48.698090759211802</v>
      </c>
      <c r="W50" s="23">
        <f t="shared" si="16"/>
        <v>2.2722602813893711E-2</v>
      </c>
      <c r="X50" s="23">
        <f t="shared" si="30"/>
        <v>2.9225185949801159E-2</v>
      </c>
      <c r="Y50" s="23">
        <f t="shared" si="31"/>
        <v>-2.2019760614377937E-2</v>
      </c>
      <c r="Z50" s="26">
        <f t="shared" si="17"/>
        <v>-0.10378547872431784</v>
      </c>
      <c r="AA50" s="23">
        <f t="shared" si="18"/>
        <v>-5.9464699056482111</v>
      </c>
      <c r="AB50" s="24">
        <f t="shared" si="32"/>
        <v>2.1808387742863422E-2</v>
      </c>
      <c r="AD50" s="33">
        <f t="shared" si="33"/>
        <v>0.87606162642973462</v>
      </c>
      <c r="AE50" s="33">
        <f t="shared" si="19"/>
        <v>50.194633787790366</v>
      </c>
      <c r="AF50" s="33">
        <f t="shared" si="20"/>
        <v>-3.3970004325698522E-3</v>
      </c>
      <c r="AG50" s="33">
        <f t="shared" si="34"/>
        <v>5.6178673087374176E-2</v>
      </c>
      <c r="AH50" s="33">
        <f t="shared" si="35"/>
        <v>3.2893132871025799E-3</v>
      </c>
      <c r="AI50" s="35">
        <f t="shared" si="2"/>
        <v>-0.10557979187604416</v>
      </c>
      <c r="AJ50" s="33">
        <f t="shared" si="21"/>
        <v>-6.0492764763669467</v>
      </c>
      <c r="AK50" s="37">
        <f t="shared" si="36"/>
        <v>-3.2586107487890814E-3</v>
      </c>
      <c r="AM50" s="41">
        <f t="shared" si="22"/>
        <v>0.47742865842636317</v>
      </c>
      <c r="AN50" s="41">
        <f t="shared" si="37"/>
        <v>27.354647146423599</v>
      </c>
      <c r="AO50" s="42">
        <f t="shared" si="23"/>
        <v>-0.47742865842636317</v>
      </c>
      <c r="AP50" s="41">
        <f t="shared" si="38"/>
        <v>-0.40216964782785414</v>
      </c>
      <c r="AQ50" s="41">
        <f t="shared" si="39"/>
        <v>2.0299163146451971</v>
      </c>
      <c r="AR50" s="43">
        <f t="shared" si="3"/>
        <v>-2.7443702696184342</v>
      </c>
      <c r="AS50" s="41">
        <f t="shared" si="4"/>
        <v>-157.2408338703161</v>
      </c>
      <c r="AU50" s="48">
        <f t="shared" si="40"/>
        <v>-2.0539352691151578</v>
      </c>
      <c r="AV50" s="48">
        <f t="shared" si="24"/>
        <v>-117.68182231336549</v>
      </c>
      <c r="AW50" s="49">
        <f t="shared" si="25"/>
        <v>-0.69043500050327644</v>
      </c>
      <c r="AX50" s="48">
        <f t="shared" si="41"/>
        <v>-2.8616193400469201</v>
      </c>
      <c r="AY50" s="48">
        <f t="shared" si="42"/>
        <v>25.157662701053596</v>
      </c>
      <c r="AZ50" s="50">
        <f t="shared" si="26"/>
        <v>0.37524578917878088</v>
      </c>
      <c r="BA50" s="48">
        <f t="shared" si="27"/>
        <v>21.5</v>
      </c>
      <c r="BB50" s="52">
        <f t="shared" si="43"/>
        <v>-2.348405150197781</v>
      </c>
      <c r="BC50" s="44">
        <f t="shared" si="28"/>
        <v>-2.0539352691151578</v>
      </c>
    </row>
    <row r="51" spans="1:55" x14ac:dyDescent="0.3">
      <c r="A51" s="48" t="s">
        <v>36</v>
      </c>
      <c r="B51" s="48">
        <v>-2</v>
      </c>
      <c r="D51">
        <f t="shared" si="46"/>
        <v>0.49000000000000027</v>
      </c>
      <c r="F51" s="5">
        <f t="shared" si="44"/>
        <v>0.57962155993112363</v>
      </c>
      <c r="G51" s="6">
        <f t="shared" si="7"/>
        <v>33.209869098842489</v>
      </c>
      <c r="I51" s="9">
        <f t="shared" si="8"/>
        <v>0.58321385668644776</v>
      </c>
      <c r="J51" s="9">
        <f t="shared" si="9"/>
        <v>33.415692541681103</v>
      </c>
      <c r="K51" s="9">
        <f t="shared" si="10"/>
        <v>-6.0359012715033646</v>
      </c>
      <c r="L51" s="9">
        <f t="shared" si="11"/>
        <v>-0.1053463505130459</v>
      </c>
      <c r="M51" s="11">
        <f t="shared" si="0"/>
        <v>0.64460788991488349</v>
      </c>
      <c r="O51" s="15">
        <f t="shared" si="12"/>
        <v>0.85809980710802947</v>
      </c>
      <c r="P51" s="15">
        <f t="shared" si="13"/>
        <v>49.165497348280127</v>
      </c>
      <c r="Q51" s="15">
        <v>-6.0359012715033602</v>
      </c>
      <c r="R51" s="15">
        <f t="shared" si="14"/>
        <v>-0.10534635051304582</v>
      </c>
      <c r="S51" s="16">
        <f t="shared" si="1"/>
        <v>3.2435903326410553E-2</v>
      </c>
      <c r="U51" s="23">
        <f t="shared" si="29"/>
        <v>0.85016010706069967</v>
      </c>
      <c r="V51" s="23">
        <f t="shared" si="15"/>
        <v>48.710586044968309</v>
      </c>
      <c r="W51" s="23">
        <f t="shared" si="16"/>
        <v>2.2504518936465101E-2</v>
      </c>
      <c r="X51" s="23">
        <f t="shared" si="30"/>
        <v>2.9450231139165811E-2</v>
      </c>
      <c r="Y51" s="23">
        <f t="shared" si="31"/>
        <v>-2.180838774286098E-2</v>
      </c>
      <c r="Z51" s="26">
        <f t="shared" si="17"/>
        <v>-0.10380045821254752</v>
      </c>
      <c r="AA51" s="23">
        <f t="shared" si="18"/>
        <v>-5.9473281671030378</v>
      </c>
      <c r="AB51" s="24">
        <f t="shared" si="32"/>
        <v>2.1599055452249605E-2</v>
      </c>
      <c r="AD51" s="33">
        <f t="shared" si="33"/>
        <v>0.87602904032224671</v>
      </c>
      <c r="AE51" s="33">
        <f t="shared" si="19"/>
        <v>50.19276674136055</v>
      </c>
      <c r="AF51" s="33">
        <f t="shared" si="20"/>
        <v>-3.3644143250819436E-3</v>
      </c>
      <c r="AG51" s="33">
        <f t="shared" si="34"/>
        <v>5.6145028944123355E-2</v>
      </c>
      <c r="AH51" s="33">
        <f t="shared" si="35"/>
        <v>3.2586107487908578E-3</v>
      </c>
      <c r="AI51" s="35">
        <f t="shared" si="2"/>
        <v>-0.10557752229182678</v>
      </c>
      <c r="AJ51" s="33">
        <f t="shared" si="21"/>
        <v>-6.0491464387700411</v>
      </c>
      <c r="AK51" s="37">
        <f t="shared" si="36"/>
        <v>-3.2279106128523249E-3</v>
      </c>
      <c r="AM51" s="41">
        <f t="shared" si="22"/>
        <v>0.45688930573521158</v>
      </c>
      <c r="AN51" s="41">
        <f t="shared" si="37"/>
        <v>26.17782892328994</v>
      </c>
      <c r="AO51" s="42">
        <f t="shared" si="23"/>
        <v>-0.45688930573521158</v>
      </c>
      <c r="AP51" s="41">
        <f t="shared" si="38"/>
        <v>-0.40673854088520628</v>
      </c>
      <c r="AQ51" s="41">
        <f t="shared" si="39"/>
        <v>2.0539352691151591</v>
      </c>
      <c r="AR51" s="43">
        <f t="shared" si="3"/>
        <v>-2.5149577882369569</v>
      </c>
      <c r="AS51" s="41">
        <f t="shared" si="4"/>
        <v>-144.09646691953387</v>
      </c>
      <c r="AU51" s="48">
        <f t="shared" si="40"/>
        <v>-2.0774193206171354</v>
      </c>
      <c r="AV51" s="48">
        <f t="shared" si="24"/>
        <v>-119.02735935029666</v>
      </c>
      <c r="AW51" s="49">
        <f t="shared" si="25"/>
        <v>-0.43753846761982151</v>
      </c>
      <c r="AX51" s="48">
        <f t="shared" si="41"/>
        <v>-2.8659947247231181</v>
      </c>
      <c r="AY51" s="48">
        <f t="shared" si="42"/>
        <v>25.289653288345491</v>
      </c>
      <c r="AZ51" s="50">
        <f t="shared" si="26"/>
        <v>0.37524578917878088</v>
      </c>
      <c r="BA51" s="48">
        <f t="shared" si="27"/>
        <v>21.5</v>
      </c>
      <c r="BB51" s="52">
        <f t="shared" si="43"/>
        <v>-2.2961060842067278</v>
      </c>
      <c r="BC51" s="44">
        <f t="shared" si="28"/>
        <v>-2.0774193206171354</v>
      </c>
    </row>
    <row r="52" spans="1:55" x14ac:dyDescent="0.3">
      <c r="A52" s="48" t="s">
        <v>37</v>
      </c>
      <c r="B52" s="48">
        <v>-5.0000000000000001E-3</v>
      </c>
      <c r="D52">
        <f t="shared" si="46"/>
        <v>0.50000000000000022</v>
      </c>
      <c r="F52" s="5">
        <f t="shared" si="44"/>
        <v>0.58607550784545159</v>
      </c>
      <c r="G52" s="6">
        <f t="shared" si="7"/>
        <v>33.579653075530743</v>
      </c>
      <c r="I52" s="9">
        <f t="shared" si="8"/>
        <v>0.5896599355855966</v>
      </c>
      <c r="J52" s="9">
        <f t="shared" si="9"/>
        <v>33.785025657010671</v>
      </c>
      <c r="K52" s="9">
        <f t="shared" si="10"/>
        <v>-6.0359012715033646</v>
      </c>
      <c r="L52" s="9">
        <f t="shared" si="11"/>
        <v>-0.1053463505130459</v>
      </c>
      <c r="M52" s="11">
        <f t="shared" si="0"/>
        <v>0.6302524493427264</v>
      </c>
      <c r="O52" s="15">
        <f t="shared" si="12"/>
        <v>0.85842416614129358</v>
      </c>
      <c r="P52" s="15">
        <f t="shared" si="13"/>
        <v>49.184081751933107</v>
      </c>
      <c r="Q52" s="15">
        <v>-6.0359012715033602</v>
      </c>
      <c r="R52" s="15">
        <f t="shared" si="14"/>
        <v>-0.10534635051304582</v>
      </c>
      <c r="S52" s="16">
        <f t="shared" si="1"/>
        <v>3.17135546088545E-2</v>
      </c>
      <c r="U52" s="23">
        <f t="shared" si="29"/>
        <v>0.85037609761522215</v>
      </c>
      <c r="V52" s="23">
        <f t="shared" si="15"/>
        <v>48.722961392157139</v>
      </c>
      <c r="W52" s="23">
        <f t="shared" si="16"/>
        <v>2.2288528381942618E-2</v>
      </c>
      <c r="X52" s="23">
        <f t="shared" si="30"/>
        <v>2.9673116422985236E-2</v>
      </c>
      <c r="Y52" s="23">
        <f t="shared" si="31"/>
        <v>-2.1599055452248273E-2</v>
      </c>
      <c r="Z52" s="26">
        <f t="shared" si="17"/>
        <v>-0.10381529433259447</v>
      </c>
      <c r="AA52" s="23">
        <f t="shared" si="18"/>
        <v>-5.9481782141660773</v>
      </c>
      <c r="AB52" s="24">
        <f t="shared" si="32"/>
        <v>2.1391740146009752E-2</v>
      </c>
      <c r="AD52" s="33">
        <f t="shared" si="33"/>
        <v>0.87599676121611814</v>
      </c>
      <c r="AE52" s="33">
        <f t="shared" si="19"/>
        <v>50.190917284812926</v>
      </c>
      <c r="AF52" s="33">
        <f t="shared" si="20"/>
        <v>-3.3321352189533693E-3</v>
      </c>
      <c r="AG52" s="33">
        <f t="shared" si="34"/>
        <v>5.6111707591933825E-2</v>
      </c>
      <c r="AH52" s="33">
        <f t="shared" si="35"/>
        <v>3.227910612857432E-3</v>
      </c>
      <c r="AI52" s="35">
        <f t="shared" si="2"/>
        <v>-0.1055752842990252</v>
      </c>
      <c r="AJ52" s="33">
        <f t="shared" si="21"/>
        <v>-6.0490182112279296</v>
      </c>
      <c r="AK52" s="37">
        <f t="shared" si="36"/>
        <v>-3.1973113722705282E-3</v>
      </c>
      <c r="AM52" s="41">
        <f t="shared" si="22"/>
        <v>0.43611511252904023</v>
      </c>
      <c r="AN52" s="41">
        <f t="shared" si="37"/>
        <v>24.987555329786975</v>
      </c>
      <c r="AO52" s="42">
        <f t="shared" si="23"/>
        <v>-0.43611511252904023</v>
      </c>
      <c r="AP52" s="41">
        <f t="shared" si="38"/>
        <v>-0.41109969201049668</v>
      </c>
      <c r="AQ52" s="41">
        <f t="shared" si="39"/>
        <v>2.0774193206171354</v>
      </c>
      <c r="AR52" s="43">
        <f t="shared" si="3"/>
        <v>-2.2837318046732671</v>
      </c>
      <c r="AS52" s="41">
        <f t="shared" si="4"/>
        <v>-130.84819394757309</v>
      </c>
      <c r="AU52" s="48">
        <f t="shared" si="40"/>
        <v>-2.1003803814592028</v>
      </c>
      <c r="AV52" s="48">
        <f t="shared" si="24"/>
        <v>-120.34293122969022</v>
      </c>
      <c r="AW52" s="49">
        <f t="shared" si="25"/>
        <v>-0.18335142321406428</v>
      </c>
      <c r="AX52" s="48">
        <f t="shared" si="41"/>
        <v>-2.867828238955259</v>
      </c>
      <c r="AY52" s="48">
        <f t="shared" si="42"/>
        <v>25.418704440575723</v>
      </c>
      <c r="AZ52" s="50">
        <f t="shared" si="26"/>
        <v>0.37524578917878088</v>
      </c>
      <c r="BA52" s="48">
        <f t="shared" si="27"/>
        <v>21.5</v>
      </c>
      <c r="BB52" s="52">
        <f t="shared" si="43"/>
        <v>-2.2449717202703035</v>
      </c>
      <c r="BC52" s="44">
        <f t="shared" si="28"/>
        <v>-2.1003803814592028</v>
      </c>
    </row>
    <row r="53" spans="1:55" x14ac:dyDescent="0.3">
      <c r="A53" s="41"/>
      <c r="B53" s="41"/>
      <c r="D53">
        <f t="shared" si="46"/>
        <v>0.51000000000000023</v>
      </c>
      <c r="F53" s="5">
        <f t="shared" si="44"/>
        <v>0.59238731472829231</v>
      </c>
      <c r="G53" s="6">
        <f t="shared" si="7"/>
        <v>33.941292971019138</v>
      </c>
      <c r="I53" s="9">
        <f t="shared" si="8"/>
        <v>0.59596246007902387</v>
      </c>
      <c r="J53" s="9">
        <f t="shared" si="9"/>
        <v>34.14613371076188</v>
      </c>
      <c r="K53" s="9">
        <f t="shared" si="10"/>
        <v>-6.0359012715033646</v>
      </c>
      <c r="L53" s="9">
        <f t="shared" si="11"/>
        <v>-0.1053463505130459</v>
      </c>
      <c r="M53" s="11">
        <f t="shared" si="0"/>
        <v>0.61621670494128766</v>
      </c>
      <c r="O53" s="15">
        <f t="shared" si="12"/>
        <v>0.85874130168738216</v>
      </c>
      <c r="P53" s="15">
        <f t="shared" si="13"/>
        <v>49.202252280257561</v>
      </c>
      <c r="Q53" s="15">
        <v>-6.0359012715033602</v>
      </c>
      <c r="R53" s="15">
        <f t="shared" si="14"/>
        <v>-0.10534635051304582</v>
      </c>
      <c r="S53" s="16">
        <f t="shared" si="1"/>
        <v>3.1007292622859506E-2</v>
      </c>
      <c r="U53" s="23">
        <f t="shared" si="29"/>
        <v>0.8505900150166823</v>
      </c>
      <c r="V53" s="23">
        <f t="shared" si="15"/>
        <v>48.73521795642521</v>
      </c>
      <c r="W53" s="23">
        <f t="shared" si="16"/>
        <v>2.2074610980482468E-2</v>
      </c>
      <c r="X53" s="23">
        <f t="shared" si="30"/>
        <v>2.9893862532790062E-2</v>
      </c>
      <c r="Y53" s="23">
        <f t="shared" si="31"/>
        <v>-2.1391740146015081E-2</v>
      </c>
      <c r="Z53" s="26">
        <f t="shared" si="17"/>
        <v>-0.10382998832581498</v>
      </c>
      <c r="AA53" s="23">
        <f t="shared" si="18"/>
        <v>-5.9490201179618065</v>
      </c>
      <c r="AB53" s="24">
        <f t="shared" si="32"/>
        <v>2.1186419806343615E-2</v>
      </c>
      <c r="AD53" s="33">
        <f t="shared" si="33"/>
        <v>0.87596478810239542</v>
      </c>
      <c r="AE53" s="33">
        <f t="shared" si="19"/>
        <v>50.189085360338723</v>
      </c>
      <c r="AF53" s="33">
        <f t="shared" si="20"/>
        <v>-3.3001621052306529E-3</v>
      </c>
      <c r="AG53" s="33">
        <f t="shared" si="34"/>
        <v>5.6078705970881521E-2</v>
      </c>
      <c r="AH53" s="33">
        <f t="shared" si="35"/>
        <v>3.1973113722716384E-3</v>
      </c>
      <c r="AI53" s="35">
        <f t="shared" si="2"/>
        <v>-0.10557307428816309</v>
      </c>
      <c r="AJ53" s="33">
        <f t="shared" si="21"/>
        <v>-6.0488915869328528</v>
      </c>
      <c r="AK53" s="37">
        <f t="shared" si="36"/>
        <v>-3.1668773676414297E-3</v>
      </c>
      <c r="AM53" s="41">
        <f t="shared" si="22"/>
        <v>0.41511130871444818</v>
      </c>
      <c r="AN53" s="41">
        <f t="shared" si="37"/>
        <v>23.78412601749007</v>
      </c>
      <c r="AO53" s="42">
        <f t="shared" si="23"/>
        <v>-0.41511130871444818</v>
      </c>
      <c r="AP53" s="41">
        <f t="shared" si="38"/>
        <v>-0.41525080509764117</v>
      </c>
      <c r="AQ53" s="41">
        <f t="shared" si="39"/>
        <v>2.1003803814592046</v>
      </c>
      <c r="AR53" s="43">
        <f t="shared" si="3"/>
        <v>-2.0507327056852769</v>
      </c>
      <c r="AS53" s="41">
        <f t="shared" si="4"/>
        <v>-117.49832894521037</v>
      </c>
      <c r="AU53" s="48">
        <f t="shared" si="40"/>
        <v>-2.1228300986619058</v>
      </c>
      <c r="AV53" s="48">
        <f t="shared" si="24"/>
        <v>-121.62920527666735</v>
      </c>
      <c r="AW53" s="49">
        <f t="shared" si="25"/>
        <v>7.2097392976628871E-2</v>
      </c>
      <c r="AX53" s="48">
        <f t="shared" si="41"/>
        <v>-2.8671072650254925</v>
      </c>
      <c r="AY53" s="48">
        <f t="shared" si="42"/>
        <v>25.544881619069315</v>
      </c>
      <c r="AZ53" s="50">
        <f t="shared" si="26"/>
        <v>0.37524578917878088</v>
      </c>
      <c r="BA53" s="48">
        <f t="shared" si="27"/>
        <v>21.5</v>
      </c>
      <c r="BB53" s="52">
        <f t="shared" si="43"/>
        <v>-2.1949761204324405</v>
      </c>
      <c r="BC53" s="44">
        <f t="shared" si="28"/>
        <v>-2.1228300986619058</v>
      </c>
    </row>
    <row r="54" spans="1:55" x14ac:dyDescent="0.3">
      <c r="A54" s="41" t="s">
        <v>49</v>
      </c>
      <c r="B54" s="41"/>
      <c r="D54">
        <f t="shared" si="46"/>
        <v>0.52000000000000024</v>
      </c>
      <c r="F54" s="5">
        <f t="shared" si="44"/>
        <v>0.59856011107792351</v>
      </c>
      <c r="G54" s="6">
        <f t="shared" si="7"/>
        <v>34.29496814964677</v>
      </c>
      <c r="I54" s="9">
        <f t="shared" si="8"/>
        <v>0.60212462712843673</v>
      </c>
      <c r="J54" s="9">
        <f t="shared" si="9"/>
        <v>34.49919987534782</v>
      </c>
      <c r="K54" s="9">
        <f t="shared" si="10"/>
        <v>-6.0359012715033646</v>
      </c>
      <c r="L54" s="9">
        <f t="shared" si="11"/>
        <v>-0.1053463505130459</v>
      </c>
      <c r="M54" s="11">
        <f t="shared" si="0"/>
        <v>0.60249353706550623</v>
      </c>
      <c r="O54" s="15">
        <f t="shared" si="12"/>
        <v>0.85905137461361081</v>
      </c>
      <c r="P54" s="15">
        <f t="shared" si="13"/>
        <v>49.220018150271727</v>
      </c>
      <c r="Q54" s="15">
        <v>-6.0359012715033602</v>
      </c>
      <c r="R54" s="15">
        <f t="shared" si="14"/>
        <v>-0.10534635051304582</v>
      </c>
      <c r="S54" s="16">
        <f t="shared" si="1"/>
        <v>3.0316759116342906E-2</v>
      </c>
      <c r="U54" s="23">
        <f t="shared" si="29"/>
        <v>0.8508018792147457</v>
      </c>
      <c r="V54" s="23">
        <f t="shared" si="15"/>
        <v>48.747356880804169</v>
      </c>
      <c r="W54" s="23">
        <f t="shared" si="16"/>
        <v>2.1862746782419062E-2</v>
      </c>
      <c r="X54" s="23">
        <f t="shared" si="30"/>
        <v>3.0112490000614254E-2</v>
      </c>
      <c r="Y54" s="23">
        <f t="shared" si="31"/>
        <v>-2.1186419806340506E-2</v>
      </c>
      <c r="Z54" s="26">
        <f t="shared" si="17"/>
        <v>-0.10384454146703492</v>
      </c>
      <c r="AA54" s="23">
        <f t="shared" si="18"/>
        <v>-5.9498539515323676</v>
      </c>
      <c r="AB54" s="24">
        <f t="shared" si="32"/>
        <v>2.0983073523235696E-2</v>
      </c>
      <c r="AD54" s="33">
        <f t="shared" si="33"/>
        <v>0.87593311932871898</v>
      </c>
      <c r="AE54" s="33">
        <f t="shared" si="19"/>
        <v>50.187270873264708</v>
      </c>
      <c r="AF54" s="33">
        <f t="shared" si="20"/>
        <v>-3.268493331554212E-3</v>
      </c>
      <c r="AG54" s="33">
        <f t="shared" si="34"/>
        <v>5.604602103756598E-2</v>
      </c>
      <c r="AH54" s="33">
        <f t="shared" si="35"/>
        <v>3.1668773676440942E-3</v>
      </c>
      <c r="AI54" s="35">
        <f t="shared" si="2"/>
        <v>-0.10557088979886176</v>
      </c>
      <c r="AJ54" s="33">
        <f t="shared" si="21"/>
        <v>-6.0487664249154953</v>
      </c>
      <c r="AK54" s="37">
        <f t="shared" si="36"/>
        <v>-3.1366503081688979E-3</v>
      </c>
      <c r="AM54" s="41">
        <f t="shared" si="22"/>
        <v>0.39388300772782914</v>
      </c>
      <c r="AN54" s="41">
        <f t="shared" si="37"/>
        <v>22.567833964723398</v>
      </c>
      <c r="AO54" s="42">
        <f t="shared" si="23"/>
        <v>-0.39388300772782914</v>
      </c>
      <c r="AP54" s="41">
        <f t="shared" si="38"/>
        <v>-0.41918963517491947</v>
      </c>
      <c r="AQ54" s="41">
        <f t="shared" si="39"/>
        <v>2.122830098661904</v>
      </c>
      <c r="AR54" s="43">
        <f t="shared" si="3"/>
        <v>-1.8159999786163876</v>
      </c>
      <c r="AS54" s="41">
        <f t="shared" si="4"/>
        <v>-104.04913437056676</v>
      </c>
      <c r="AU54" s="48">
        <f t="shared" si="40"/>
        <v>-2.14477985986623</v>
      </c>
      <c r="AV54" s="48">
        <f t="shared" si="24"/>
        <v>-122.88683395499511</v>
      </c>
      <c r="AW54" s="49">
        <f t="shared" si="25"/>
        <v>0.32877988124984237</v>
      </c>
      <c r="AX54" s="48">
        <f t="shared" si="41"/>
        <v>-2.8638194662129939</v>
      </c>
      <c r="AY54" s="48">
        <f t="shared" si="42"/>
        <v>25.668248827321349</v>
      </c>
      <c r="AZ54" s="50">
        <f t="shared" si="26"/>
        <v>0.37524578917878088</v>
      </c>
      <c r="BA54" s="48">
        <f t="shared" si="27"/>
        <v>21.5</v>
      </c>
      <c r="BB54" s="52">
        <f t="shared" si="43"/>
        <v>-2.1460939243762729</v>
      </c>
      <c r="BC54" s="44">
        <f t="shared" si="28"/>
        <v>-2.14477985986623</v>
      </c>
    </row>
    <row r="55" spans="1:55" x14ac:dyDescent="0.3">
      <c r="A55" s="41" t="s">
        <v>30</v>
      </c>
      <c r="B55" s="41">
        <v>10</v>
      </c>
      <c r="D55">
        <f t="shared" si="46"/>
        <v>0.53000000000000025</v>
      </c>
      <c r="F55" s="5">
        <f t="shared" si="44"/>
        <v>0.60459695844687733</v>
      </c>
      <c r="G55" s="6">
        <f t="shared" si="7"/>
        <v>34.640854025452477</v>
      </c>
      <c r="I55" s="9">
        <f t="shared" si="8"/>
        <v>0.6081495624990918</v>
      </c>
      <c r="J55" s="9">
        <f t="shared" si="9"/>
        <v>34.844403243925441</v>
      </c>
      <c r="K55" s="9">
        <f t="shared" si="10"/>
        <v>-6.0359012715033646</v>
      </c>
      <c r="L55" s="9">
        <f t="shared" si="11"/>
        <v>-0.1053463505130459</v>
      </c>
      <c r="M55" s="11">
        <f t="shared" si="0"/>
        <v>0.58907598462506883</v>
      </c>
      <c r="O55" s="15">
        <f t="shared" si="12"/>
        <v>0.85935454220477425</v>
      </c>
      <c r="P55" s="15">
        <f t="shared" si="13"/>
        <v>49.237388373730546</v>
      </c>
      <c r="Q55" s="15">
        <v>-6.0359012715033602</v>
      </c>
      <c r="R55" s="15">
        <f t="shared" si="14"/>
        <v>-0.10534635051304582</v>
      </c>
      <c r="S55" s="16">
        <f t="shared" si="1"/>
        <v>2.9641603815509399E-2</v>
      </c>
      <c r="U55" s="23">
        <f t="shared" si="29"/>
        <v>0.8510117099499781</v>
      </c>
      <c r="V55" s="23">
        <f t="shared" si="15"/>
        <v>48.759379296345109</v>
      </c>
      <c r="W55" s="23">
        <f t="shared" si="16"/>
        <v>2.1652916047186666E-2</v>
      </c>
      <c r="X55" s="23">
        <f t="shared" si="30"/>
        <v>3.0329019161086119E-2</v>
      </c>
      <c r="Y55" s="23">
        <f t="shared" si="31"/>
        <v>-2.0983073523239693E-2</v>
      </c>
      <c r="Z55" s="26">
        <f t="shared" si="17"/>
        <v>-0.10385895504892936</v>
      </c>
      <c r="AA55" s="23">
        <f t="shared" si="18"/>
        <v>-5.9506797889425851</v>
      </c>
      <c r="AB55" s="24">
        <f t="shared" si="32"/>
        <v>2.0781681181617939E-2</v>
      </c>
      <c r="AD55" s="33">
        <f t="shared" si="33"/>
        <v>0.87590175282563731</v>
      </c>
      <c r="AE55" s="33">
        <f t="shared" si="19"/>
        <v>50.185473705020044</v>
      </c>
      <c r="AF55" s="33">
        <f t="shared" si="20"/>
        <v>-3.2371268284725474E-3</v>
      </c>
      <c r="AG55" s="33">
        <f t="shared" si="34"/>
        <v>5.6013649769281255E-2</v>
      </c>
      <c r="AH55" s="33">
        <f t="shared" si="35"/>
        <v>3.1366503081664554E-3</v>
      </c>
      <c r="AI55" s="35">
        <f t="shared" si="2"/>
        <v>-0.10556872913315825</v>
      </c>
      <c r="AJ55" s="33">
        <f t="shared" si="21"/>
        <v>-6.0486426278897456</v>
      </c>
      <c r="AK55" s="37">
        <f t="shared" si="36"/>
        <v>-3.1066569091606766E-3</v>
      </c>
      <c r="AM55" s="41">
        <f t="shared" si="22"/>
        <v>0.37243520912916683</v>
      </c>
      <c r="AN55" s="41">
        <f t="shared" si="37"/>
        <v>21.338965625173447</v>
      </c>
      <c r="AO55" s="42">
        <f t="shared" si="23"/>
        <v>-0.37243520912916683</v>
      </c>
      <c r="AP55" s="41">
        <f t="shared" si="38"/>
        <v>-0.42291398726621116</v>
      </c>
      <c r="AQ55" s="41">
        <f t="shared" si="39"/>
        <v>2.1447798598662304</v>
      </c>
      <c r="AR55" s="43">
        <f t="shared" si="3"/>
        <v>-1.5795722314254377</v>
      </c>
      <c r="AS55" s="41">
        <f t="shared" si="4"/>
        <v>-90.502822296739325</v>
      </c>
      <c r="AU55" s="48">
        <f t="shared" si="40"/>
        <v>-2.1662407991099926</v>
      </c>
      <c r="AV55" s="48">
        <f t="shared" si="24"/>
        <v>-124.11645519804939</v>
      </c>
      <c r="AW55" s="49">
        <f t="shared" si="25"/>
        <v>0.58666856768455489</v>
      </c>
      <c r="AX55" s="48">
        <f t="shared" si="41"/>
        <v>-2.8579527805361482</v>
      </c>
      <c r="AY55" s="48">
        <f t="shared" si="42"/>
        <v>25.78886864347125</v>
      </c>
      <c r="AZ55" s="50">
        <f t="shared" si="26"/>
        <v>0.37524578917878088</v>
      </c>
      <c r="BA55" s="48">
        <f t="shared" si="27"/>
        <v>21.5</v>
      </c>
      <c r="BB55" s="52">
        <f t="shared" si="43"/>
        <v>-2.0983003365600901</v>
      </c>
      <c r="BC55" s="44">
        <f t="shared" si="28"/>
        <v>-2.1662407991099926</v>
      </c>
    </row>
    <row r="56" spans="1:55" x14ac:dyDescent="0.3">
      <c r="A56" s="41" t="s">
        <v>36</v>
      </c>
      <c r="B56" s="41">
        <v>0</v>
      </c>
      <c r="D56">
        <f t="shared" si="46"/>
        <v>0.54000000000000026</v>
      </c>
      <c r="F56" s="5">
        <f t="shared" si="44"/>
        <v>0.61050085096039286</v>
      </c>
      <c r="G56" s="6">
        <f t="shared" si="7"/>
        <v>34.979122149175801</v>
      </c>
      <c r="I56" s="9">
        <f t="shared" si="8"/>
        <v>0.61404032234534245</v>
      </c>
      <c r="J56" s="9">
        <f t="shared" si="9"/>
        <v>35.181918921240737</v>
      </c>
      <c r="K56" s="9">
        <f t="shared" si="10"/>
        <v>-6.0359012715033646</v>
      </c>
      <c r="L56" s="9">
        <f t="shared" si="11"/>
        <v>-0.1053463505130459</v>
      </c>
      <c r="M56" s="11">
        <f t="shared" si="0"/>
        <v>0.57595724155339045</v>
      </c>
      <c r="O56" s="15">
        <f t="shared" si="12"/>
        <v>0.85965095824292936</v>
      </c>
      <c r="P56" s="15">
        <f t="shared" si="13"/>
        <v>49.254371761696817</v>
      </c>
      <c r="Q56" s="15">
        <v>-6.0359012715033602</v>
      </c>
      <c r="R56" s="15">
        <f t="shared" si="14"/>
        <v>-0.10534635051304582</v>
      </c>
      <c r="S56" s="16">
        <f t="shared" si="1"/>
        <v>2.8981484247172729E-2</v>
      </c>
      <c r="U56" s="23">
        <f t="shared" si="29"/>
        <v>0.85121952676179424</v>
      </c>
      <c r="V56" s="23">
        <f t="shared" si="15"/>
        <v>48.771286322574042</v>
      </c>
      <c r="W56" s="23">
        <f t="shared" si="16"/>
        <v>2.1445099235370524E-2</v>
      </c>
      <c r="X56" s="23">
        <f t="shared" si="30"/>
        <v>3.0543470153439823E-2</v>
      </c>
      <c r="Y56" s="23">
        <f t="shared" si="31"/>
        <v>-2.0781681181614164E-2</v>
      </c>
      <c r="Z56" s="26">
        <f t="shared" si="17"/>
        <v>-0.10387323037171262</v>
      </c>
      <c r="AA56" s="23">
        <f t="shared" si="18"/>
        <v>-5.9514977046892525</v>
      </c>
      <c r="AB56" s="24">
        <f t="shared" si="32"/>
        <v>2.0582223253470033E-2</v>
      </c>
      <c r="AD56" s="33">
        <f t="shared" si="33"/>
        <v>0.87587068625654574</v>
      </c>
      <c r="AE56" s="33">
        <f t="shared" si="19"/>
        <v>50.183693721727145</v>
      </c>
      <c r="AF56" s="33">
        <f t="shared" si="20"/>
        <v>-3.2060602593809717E-3</v>
      </c>
      <c r="AG56" s="33">
        <f t="shared" si="34"/>
        <v>5.5981589166687447E-2</v>
      </c>
      <c r="AH56" s="33">
        <f t="shared" si="35"/>
        <v>3.106656909157568E-3</v>
      </c>
      <c r="AI56" s="35">
        <f t="shared" si="2"/>
        <v>-0.10556659109915874</v>
      </c>
      <c r="AJ56" s="33">
        <f t="shared" si="21"/>
        <v>-6.0485201275651175</v>
      </c>
      <c r="AK56" s="37">
        <f t="shared" si="36"/>
        <v>-3.0769139550217428E-3</v>
      </c>
      <c r="AM56" s="41">
        <f t="shared" si="22"/>
        <v>0.35077280113806691</v>
      </c>
      <c r="AN56" s="41">
        <f t="shared" si="37"/>
        <v>20.097801073192954</v>
      </c>
      <c r="AO56" s="42">
        <f t="shared" si="23"/>
        <v>-0.35077280113806691</v>
      </c>
      <c r="AP56" s="41">
        <f t="shared" si="38"/>
        <v>-0.42642171527759182</v>
      </c>
      <c r="AQ56" s="41">
        <f t="shared" si="39"/>
        <v>2.1662407991099917</v>
      </c>
      <c r="AR56" s="43">
        <f t="shared" si="3"/>
        <v>-1.3414872122706774</v>
      </c>
      <c r="AS56" s="41">
        <f t="shared" si="4"/>
        <v>-76.861555533880193</v>
      </c>
      <c r="AU56" s="48">
        <f t="shared" si="40"/>
        <v>-2.1872238024755934</v>
      </c>
      <c r="AV56" s="48">
        <f t="shared" si="24"/>
        <v>-125.31869273240713</v>
      </c>
      <c r="AW56" s="49">
        <f t="shared" si="25"/>
        <v>0.84573659020491609</v>
      </c>
      <c r="AX56" s="48">
        <f t="shared" si="41"/>
        <v>-2.8494954146340992</v>
      </c>
      <c r="AY56" s="48">
        <f t="shared" si="42"/>
        <v>25.906802252036119</v>
      </c>
      <c r="AZ56" s="50">
        <f t="shared" si="26"/>
        <v>0.37524578917878088</v>
      </c>
      <c r="BA56" s="48">
        <f t="shared" si="27"/>
        <v>21.5</v>
      </c>
      <c r="BB56" s="52">
        <f t="shared" si="43"/>
        <v>-2.0515711136397767</v>
      </c>
      <c r="BC56" s="44">
        <f t="shared" si="28"/>
        <v>-2.1872238024755934</v>
      </c>
    </row>
    <row r="57" spans="1:55" x14ac:dyDescent="0.3">
      <c r="A57" s="41" t="s">
        <v>37</v>
      </c>
      <c r="B57" s="41">
        <v>1</v>
      </c>
      <c r="D57">
        <f t="shared" si="46"/>
        <v>0.55000000000000027</v>
      </c>
      <c r="F57" s="5">
        <f t="shared" si="44"/>
        <v>0.61627471680142809</v>
      </c>
      <c r="G57" s="6">
        <f t="shared" si="7"/>
        <v>35.309940293341874</v>
      </c>
      <c r="I57" s="9">
        <f t="shared" si="8"/>
        <v>0.61979989476087638</v>
      </c>
      <c r="J57" s="9">
        <f t="shared" si="9"/>
        <v>35.5119181124508</v>
      </c>
      <c r="K57" s="9">
        <f t="shared" si="10"/>
        <v>-6.0359012715033646</v>
      </c>
      <c r="L57" s="9">
        <f t="shared" si="11"/>
        <v>-0.1053463505130459</v>
      </c>
      <c r="M57" s="11">
        <f t="shared" si="0"/>
        <v>0.56313065335523005</v>
      </c>
      <c r="O57" s="15">
        <f t="shared" si="12"/>
        <v>0.85994077308540107</v>
      </c>
      <c r="P57" s="15">
        <f t="shared" si="13"/>
        <v>49.2709769290107</v>
      </c>
      <c r="Q57" s="15">
        <v>-6.0359012715033602</v>
      </c>
      <c r="R57" s="15">
        <f t="shared" si="14"/>
        <v>-0.10534635051304582</v>
      </c>
      <c r="S57" s="16">
        <f t="shared" si="1"/>
        <v>2.8336065565037094E-2</v>
      </c>
      <c r="U57" s="23">
        <f t="shared" si="29"/>
        <v>0.85142534899432898</v>
      </c>
      <c r="V57" s="23">
        <f t="shared" si="15"/>
        <v>48.78307906782824</v>
      </c>
      <c r="W57" s="23">
        <f t="shared" si="16"/>
        <v>2.1239277002835788E-2</v>
      </c>
      <c r="X57" s="23">
        <f t="shared" si="30"/>
        <v>3.0755862923468182E-2</v>
      </c>
      <c r="Y57" s="23">
        <f t="shared" si="31"/>
        <v>-2.0582223253473586E-2</v>
      </c>
      <c r="Z57" s="26">
        <f t="shared" si="17"/>
        <v>-0.10388736873634058</v>
      </c>
      <c r="AA57" s="23">
        <f t="shared" si="18"/>
        <v>-5.9523077733116514</v>
      </c>
      <c r="AB57" s="24">
        <f t="shared" si="32"/>
        <v>2.0384680659341736E-2</v>
      </c>
      <c r="AD57" s="33">
        <f t="shared" si="33"/>
        <v>0.87583991711699549</v>
      </c>
      <c r="AE57" s="33">
        <f t="shared" si="19"/>
        <v>50.181930779891673</v>
      </c>
      <c r="AF57" s="33">
        <f t="shared" si="20"/>
        <v>-3.1752911198307254E-3</v>
      </c>
      <c r="AG57" s="33">
        <f t="shared" si="34"/>
        <v>5.594983625548914E-2</v>
      </c>
      <c r="AH57" s="33">
        <f t="shared" si="35"/>
        <v>3.0769139550246294E-3</v>
      </c>
      <c r="AI57" s="35">
        <f t="shared" si="2"/>
        <v>-0.10556447484109195</v>
      </c>
      <c r="AJ57" s="33">
        <f t="shared" si="21"/>
        <v>-6.0483988749095303</v>
      </c>
      <c r="AK57" s="37">
        <f t="shared" si="36"/>
        <v>-3.0474316555859637E-3</v>
      </c>
      <c r="AM57" s="41">
        <f t="shared" si="22"/>
        <v>0.32890056311331095</v>
      </c>
      <c r="AN57" s="41">
        <f t="shared" si="37"/>
        <v>18.844614145868881</v>
      </c>
      <c r="AO57" s="42">
        <f t="shared" si="23"/>
        <v>-0.32890056311331095</v>
      </c>
      <c r="AP57" s="41">
        <f t="shared" si="38"/>
        <v>-0.42971072090872492</v>
      </c>
      <c r="AQ57" s="41">
        <f t="shared" si="39"/>
        <v>2.1872238024755961</v>
      </c>
      <c r="AR57" s="43">
        <f t="shared" si="3"/>
        <v>-1.1017818286575136</v>
      </c>
      <c r="AS57" s="41">
        <f t="shared" si="4"/>
        <v>-63.12744872628155</v>
      </c>
      <c r="AU57" s="48">
        <f t="shared" si="40"/>
        <v>-2.2077395136119913</v>
      </c>
      <c r="AV57" s="48">
        <f t="shared" si="24"/>
        <v>-126.49415639423226</v>
      </c>
      <c r="AW57" s="49">
        <f t="shared" si="25"/>
        <v>1.1059576849544777</v>
      </c>
      <c r="AX57" s="48">
        <f t="shared" si="41"/>
        <v>-2.8384358377845542</v>
      </c>
      <c r="AY57" s="48">
        <f t="shared" si="42"/>
        <v>26.022109474956157</v>
      </c>
      <c r="AZ57" s="50">
        <f t="shared" si="26"/>
        <v>0.37524578917878088</v>
      </c>
      <c r="BA57" s="48">
        <f t="shared" si="27"/>
        <v>21.5</v>
      </c>
      <c r="BB57" s="52">
        <f t="shared" si="43"/>
        <v>-2.0058825521713475</v>
      </c>
      <c r="BC57" s="44">
        <f t="shared" si="28"/>
        <v>-2.2077395136119913</v>
      </c>
    </row>
    <row r="58" spans="1:55" x14ac:dyDescent="0.3">
      <c r="D58">
        <f t="shared" si="46"/>
        <v>0.56000000000000028</v>
      </c>
      <c r="F58" s="5">
        <f t="shared" si="44"/>
        <v>0.62192141966296477</v>
      </c>
      <c r="G58" s="6">
        <f t="shared" si="7"/>
        <v>35.633472535472372</v>
      </c>
      <c r="I58" s="9">
        <f t="shared" si="8"/>
        <v>0.62543120129442864</v>
      </c>
      <c r="J58" s="9">
        <f t="shared" si="9"/>
        <v>35.834568209967792</v>
      </c>
      <c r="K58" s="9">
        <f t="shared" si="10"/>
        <v>-6.0359012715033646</v>
      </c>
      <c r="L58" s="9">
        <f t="shared" si="11"/>
        <v>-0.1053463505130459</v>
      </c>
      <c r="M58" s="11">
        <f t="shared" si="0"/>
        <v>0.55058971373119214</v>
      </c>
      <c r="O58" s="15">
        <f t="shared" si="12"/>
        <v>0.86022413374105144</v>
      </c>
      <c r="P58" s="15">
        <f t="shared" si="13"/>
        <v>49.287212298659526</v>
      </c>
      <c r="Q58" s="15">
        <v>-6.0359012715033602</v>
      </c>
      <c r="R58" s="15">
        <f t="shared" si="14"/>
        <v>-0.10534635051304582</v>
      </c>
      <c r="S58" s="16">
        <f t="shared" si="1"/>
        <v>2.7705020379845013E-2</v>
      </c>
      <c r="U58" s="23">
        <f t="shared" si="29"/>
        <v>0.85162919580092244</v>
      </c>
      <c r="V58" s="23">
        <f t="shared" si="15"/>
        <v>48.794758629513268</v>
      </c>
      <c r="W58" s="23">
        <f t="shared" si="16"/>
        <v>2.1035430196242322E-2</v>
      </c>
      <c r="X58" s="23">
        <f t="shared" si="30"/>
        <v>3.0966217225430605E-2</v>
      </c>
      <c r="Y58" s="23">
        <f t="shared" si="31"/>
        <v>-2.0384680659346621E-2</v>
      </c>
      <c r="Z58" s="26">
        <f t="shared" si="17"/>
        <v>-0.10390137144004913</v>
      </c>
      <c r="AA58" s="23">
        <f t="shared" si="18"/>
        <v>-5.9531100691359233</v>
      </c>
      <c r="AB58" s="24">
        <f t="shared" si="32"/>
        <v>2.0189034676056705E-2</v>
      </c>
      <c r="AD58" s="33">
        <f t="shared" si="33"/>
        <v>0.8758094428004396</v>
      </c>
      <c r="AE58" s="33">
        <f t="shared" si="19"/>
        <v>50.180184730169472</v>
      </c>
      <c r="AF58" s="33">
        <f t="shared" si="20"/>
        <v>-3.1448168032748303E-3</v>
      </c>
      <c r="AG58" s="33">
        <f t="shared" si="34"/>
        <v>5.5918388087456389E-2</v>
      </c>
      <c r="AH58" s="33">
        <f t="shared" si="35"/>
        <v>3.0474316555895165E-3</v>
      </c>
      <c r="AI58" s="35">
        <f t="shared" si="2"/>
        <v>-0.10556237972664106</v>
      </c>
      <c r="AJ58" s="33">
        <f t="shared" si="21"/>
        <v>-6.0482788336938977</v>
      </c>
      <c r="AK58" s="37">
        <f t="shared" si="36"/>
        <v>-3.0182158710307938E-3</v>
      </c>
      <c r="AM58" s="41">
        <f t="shared" si="22"/>
        <v>0.30682316797719106</v>
      </c>
      <c r="AN58" s="41">
        <f t="shared" si="37"/>
        <v>17.579672581926559</v>
      </c>
      <c r="AO58" s="42">
        <f t="shared" si="23"/>
        <v>-0.30682316797719106</v>
      </c>
      <c r="AP58" s="41">
        <f t="shared" si="38"/>
        <v>-0.43277895258849686</v>
      </c>
      <c r="AQ58" s="41">
        <f t="shared" si="39"/>
        <v>2.2077395136119891</v>
      </c>
      <c r="AR58" s="43">
        <f t="shared" si="3"/>
        <v>-0.86049216615992163</v>
      </c>
      <c r="AS58" s="41">
        <f t="shared" si="4"/>
        <v>-49.302569425033468</v>
      </c>
      <c r="AU58" s="48">
        <f t="shared" si="40"/>
        <v>-2.2277983391337046</v>
      </c>
      <c r="AV58" s="48">
        <f t="shared" si="24"/>
        <v>-127.64344243861574</v>
      </c>
      <c r="AW58" s="49">
        <f t="shared" si="25"/>
        <v>1.367306172973783</v>
      </c>
      <c r="AX58" s="48">
        <f t="shared" si="41"/>
        <v>-2.8247627760548162</v>
      </c>
      <c r="AY58" s="48">
        <f t="shared" si="42"/>
        <v>26.134848801930531</v>
      </c>
      <c r="AZ58" s="50">
        <f t="shared" si="26"/>
        <v>0.37524578917878088</v>
      </c>
      <c r="BA58" s="48">
        <f t="shared" si="27"/>
        <v>21.5</v>
      </c>
      <c r="BB58" s="52">
        <f t="shared" si="43"/>
        <v>-1.9612114765873603</v>
      </c>
      <c r="BC58" s="44">
        <f t="shared" si="28"/>
        <v>-2.2277983391337046</v>
      </c>
    </row>
    <row r="59" spans="1:55" x14ac:dyDescent="0.3">
      <c r="D59">
        <f t="shared" si="46"/>
        <v>0.57000000000000028</v>
      </c>
      <c r="F59" s="5">
        <f t="shared" si="44"/>
        <v>0.62744376016832859</v>
      </c>
      <c r="G59" s="6">
        <f t="shared" si="7"/>
        <v>35.949879339463862</v>
      </c>
      <c r="I59" s="9">
        <f t="shared" si="8"/>
        <v>0.63093709843174062</v>
      </c>
      <c r="J59" s="9">
        <f t="shared" si="9"/>
        <v>36.150032878368926</v>
      </c>
      <c r="K59" s="9">
        <f t="shared" si="10"/>
        <v>-6.0359012715033646</v>
      </c>
      <c r="L59" s="9">
        <f t="shared" si="11"/>
        <v>-0.1053463505130459</v>
      </c>
      <c r="M59" s="11">
        <f t="shared" si="0"/>
        <v>0.53832806127739907</v>
      </c>
      <c r="O59" s="15">
        <f t="shared" si="12"/>
        <v>0.86050118394484987</v>
      </c>
      <c r="P59" s="15">
        <f t="shared" si="13"/>
        <v>49.303086106050415</v>
      </c>
      <c r="Q59" s="15">
        <v>-6.0359012715033602</v>
      </c>
      <c r="R59" s="15">
        <f t="shared" si="14"/>
        <v>-0.10534635051304582</v>
      </c>
      <c r="S59" s="16">
        <f t="shared" si="1"/>
        <v>2.7088028593309943E-2</v>
      </c>
      <c r="U59" s="23">
        <f t="shared" si="29"/>
        <v>0.85183108614768299</v>
      </c>
      <c r="V59" s="23">
        <f t="shared" si="15"/>
        <v>48.806326094307082</v>
      </c>
      <c r="W59" s="23">
        <f t="shared" si="16"/>
        <v>2.0833539849481775E-2</v>
      </c>
      <c r="X59" s="23">
        <f t="shared" si="30"/>
        <v>3.1174552623925423E-2</v>
      </c>
      <c r="Y59" s="23">
        <f t="shared" si="31"/>
        <v>-2.0189034676054707E-2</v>
      </c>
      <c r="Z59" s="26">
        <f t="shared" si="17"/>
        <v>-0.10391523977343411</v>
      </c>
      <c r="AA59" s="23">
        <f t="shared" si="18"/>
        <v>-5.9539046661077641</v>
      </c>
      <c r="AB59" s="24">
        <f t="shared" si="32"/>
        <v>1.9995266874907935E-2</v>
      </c>
      <c r="AD59" s="33">
        <f t="shared" si="33"/>
        <v>0.87577926064172928</v>
      </c>
      <c r="AE59" s="33">
        <f t="shared" si="19"/>
        <v>50.178455419858778</v>
      </c>
      <c r="AF59" s="33">
        <f t="shared" si="20"/>
        <v>-3.1146346445645179E-3</v>
      </c>
      <c r="AG59" s="33">
        <f t="shared" si="34"/>
        <v>5.5887241741010743E-2</v>
      </c>
      <c r="AH59" s="33">
        <f t="shared" si="35"/>
        <v>3.0182158710312379E-3</v>
      </c>
      <c r="AI59" s="35">
        <f t="shared" si="2"/>
        <v>-0.10556030527224761</v>
      </c>
      <c r="AJ59" s="33">
        <f t="shared" si="21"/>
        <v>-6.0481599762123599</v>
      </c>
      <c r="AK59" s="37">
        <f t="shared" si="36"/>
        <v>-2.9892695867372865E-3</v>
      </c>
      <c r="AM59" s="41">
        <f t="shared" si="22"/>
        <v>0.28454518458585398</v>
      </c>
      <c r="AN59" s="41">
        <f t="shared" si="37"/>
        <v>16.303238157540399</v>
      </c>
      <c r="AO59" s="42">
        <f t="shared" si="23"/>
        <v>-0.28454518458585398</v>
      </c>
      <c r="AP59" s="41">
        <f t="shared" si="38"/>
        <v>-0.43562440443435541</v>
      </c>
      <c r="AQ59" s="41">
        <f t="shared" si="39"/>
        <v>2.2277983391337073</v>
      </c>
      <c r="AR59" s="43">
        <f t="shared" si="3"/>
        <v>-0.61765350672483255</v>
      </c>
      <c r="AS59" s="41">
        <f t="shared" si="4"/>
        <v>-35.388939136788117</v>
      </c>
      <c r="AU59" s="48">
        <f t="shared" si="40"/>
        <v>-2.2474104538995783</v>
      </c>
      <c r="AV59" s="48">
        <f t="shared" si="24"/>
        <v>-128.76713384202651</v>
      </c>
      <c r="AW59" s="49">
        <f t="shared" si="25"/>
        <v>1.6297569471747457</v>
      </c>
      <c r="AX59" s="48">
        <f t="shared" si="41"/>
        <v>-2.8084652065830689</v>
      </c>
      <c r="AY59" s="48">
        <f t="shared" si="42"/>
        <v>26.245077420096273</v>
      </c>
      <c r="AZ59" s="50">
        <f t="shared" si="26"/>
        <v>0.37524578917878088</v>
      </c>
      <c r="BA59" s="48">
        <f t="shared" si="27"/>
        <v>21.5</v>
      </c>
      <c r="BB59" s="52">
        <f t="shared" si="43"/>
        <v>-1.9175352274410757</v>
      </c>
      <c r="BC59" s="44">
        <f t="shared" si="28"/>
        <v>-2.2474104538995783</v>
      </c>
    </row>
    <row r="60" spans="1:55" x14ac:dyDescent="0.3">
      <c r="D60">
        <f t="shared" si="46"/>
        <v>0.58000000000000029</v>
      </c>
      <c r="F60" s="5">
        <f t="shared" si="44"/>
        <v>0.63284447726022885</v>
      </c>
      <c r="G60" s="6">
        <f t="shared" si="7"/>
        <v>36.259317635173915</v>
      </c>
      <c r="I60" s="9">
        <f t="shared" si="8"/>
        <v>0.63632037904451466</v>
      </c>
      <c r="J60" s="9">
        <f t="shared" si="9"/>
        <v>36.458472137415484</v>
      </c>
      <c r="K60" s="9">
        <f t="shared" si="10"/>
        <v>-6.0359012715033646</v>
      </c>
      <c r="L60" s="9">
        <f t="shared" si="11"/>
        <v>-0.1053463505130459</v>
      </c>
      <c r="M60" s="11">
        <f t="shared" si="0"/>
        <v>0.52633947625866329</v>
      </c>
      <c r="O60" s="15">
        <f t="shared" si="12"/>
        <v>0.86077206423078301</v>
      </c>
      <c r="P60" s="15">
        <f t="shared" si="13"/>
        <v>49.31860640318768</v>
      </c>
      <c r="Q60" s="15">
        <v>-6.0359012715033602</v>
      </c>
      <c r="R60" s="15">
        <f t="shared" si="14"/>
        <v>-0.10534635051304582</v>
      </c>
      <c r="S60" s="16">
        <f t="shared" si="1"/>
        <v>2.6484777235744827E-2</v>
      </c>
      <c r="U60" s="23">
        <f t="shared" si="29"/>
        <v>0.85203103881643205</v>
      </c>
      <c r="V60" s="23">
        <f t="shared" si="15"/>
        <v>48.817782538328778</v>
      </c>
      <c r="W60" s="23">
        <f t="shared" si="16"/>
        <v>2.0633587180732715E-2</v>
      </c>
      <c r="X60" s="23">
        <f t="shared" si="30"/>
        <v>3.1380888495732749E-2</v>
      </c>
      <c r="Y60" s="23">
        <f t="shared" si="31"/>
        <v>-1.9995266874905937E-2</v>
      </c>
      <c r="Z60" s="26">
        <f t="shared" si="17"/>
        <v>-0.1039289750185564</v>
      </c>
      <c r="AA60" s="23">
        <f t="shared" si="18"/>
        <v>-5.9546916376838483</v>
      </c>
      <c r="AB60" s="24">
        <f t="shared" si="32"/>
        <v>1.9803359080145189E-2</v>
      </c>
      <c r="AD60" s="33">
        <f t="shared" si="33"/>
        <v>0.87574936794586189</v>
      </c>
      <c r="AE60" s="33">
        <f t="shared" si="19"/>
        <v>50.176742694547308</v>
      </c>
      <c r="AF60" s="33">
        <f t="shared" si="20"/>
        <v>-3.0847419486971228E-3</v>
      </c>
      <c r="AG60" s="33">
        <f t="shared" si="34"/>
        <v>5.585639432152377E-2</v>
      </c>
      <c r="AH60" s="33">
        <f t="shared" si="35"/>
        <v>2.9892695867395069E-3</v>
      </c>
      <c r="AI60" s="35">
        <f t="shared" si="2"/>
        <v>-0.10555825109358699</v>
      </c>
      <c r="AJ60" s="33">
        <f t="shared" si="21"/>
        <v>-6.0480422804447409</v>
      </c>
      <c r="AK60" s="37">
        <f t="shared" si="36"/>
        <v>-2.9605938909369467E-3</v>
      </c>
      <c r="AM60" s="41">
        <f t="shared" si="22"/>
        <v>0.2620710800468582</v>
      </c>
      <c r="AN60" s="41">
        <f t="shared" si="37"/>
        <v>15.015566819120135</v>
      </c>
      <c r="AO60" s="42">
        <f t="shared" si="23"/>
        <v>-0.2620710800468582</v>
      </c>
      <c r="AP60" s="41">
        <f t="shared" si="38"/>
        <v>-0.43824511523482401</v>
      </c>
      <c r="AQ60" s="41">
        <f t="shared" si="39"/>
        <v>2.2474104538995787</v>
      </c>
      <c r="AR60" s="43">
        <f t="shared" si="3"/>
        <v>-0.37330034656900324</v>
      </c>
      <c r="AS60" s="41">
        <f t="shared" si="4"/>
        <v>-21.388534349174826</v>
      </c>
      <c r="AU60" s="48">
        <f t="shared" si="40"/>
        <v>-2.266585806173989</v>
      </c>
      <c r="AV60" s="48">
        <f t="shared" si="24"/>
        <v>-129.86580059802682</v>
      </c>
      <c r="AW60" s="49">
        <f t="shared" si="25"/>
        <v>1.8932854596049857</v>
      </c>
      <c r="AX60" s="48">
        <f t="shared" si="41"/>
        <v>-2.789532351987019</v>
      </c>
      <c r="AY60" s="48">
        <f t="shared" si="42"/>
        <v>26.352851243023999</v>
      </c>
      <c r="AZ60" s="50">
        <f t="shared" si="26"/>
        <v>0.37524578917878088</v>
      </c>
      <c r="BA60" s="48">
        <f t="shared" si="27"/>
        <v>21.5</v>
      </c>
      <c r="BB60" s="52">
        <f t="shared" si="43"/>
        <v>-1.8748316499124442</v>
      </c>
      <c r="BC60" s="44">
        <f t="shared" si="28"/>
        <v>-2.266585806173989</v>
      </c>
    </row>
    <row r="61" spans="1:55" x14ac:dyDescent="0.3">
      <c r="D61">
        <f t="shared" si="46"/>
        <v>0.5900000000000003</v>
      </c>
      <c r="F61" s="5">
        <f t="shared" si="44"/>
        <v>0.63812624955920483</v>
      </c>
      <c r="G61" s="6">
        <f t="shared" si="7"/>
        <v>36.561940896254349</v>
      </c>
      <c r="I61" s="9">
        <f t="shared" si="8"/>
        <v>0.6415837738071013</v>
      </c>
      <c r="J61" s="9">
        <f t="shared" si="9"/>
        <v>36.760042443222957</v>
      </c>
      <c r="K61" s="9">
        <f t="shared" si="10"/>
        <v>-6.0359012715033646</v>
      </c>
      <c r="L61" s="9">
        <f t="shared" si="11"/>
        <v>-0.1053463505130459</v>
      </c>
      <c r="M61" s="11">
        <f t="shared" si="0"/>
        <v>0.51461787745352106</v>
      </c>
      <c r="O61" s="15">
        <f t="shared" si="12"/>
        <v>0.86103691200314048</v>
      </c>
      <c r="P61" s="15">
        <f t="shared" si="13"/>
        <v>49.333781062757204</v>
      </c>
      <c r="Q61" s="15">
        <v>-6.0359012715033602</v>
      </c>
      <c r="R61" s="15">
        <f t="shared" si="14"/>
        <v>-0.10534635051304582</v>
      </c>
      <c r="S61" s="16">
        <f t="shared" si="1"/>
        <v>2.5894960307309978E-2</v>
      </c>
      <c r="U61" s="23">
        <f t="shared" si="29"/>
        <v>0.85222907240723356</v>
      </c>
      <c r="V61" s="23">
        <f t="shared" si="15"/>
        <v>48.829129027283521</v>
      </c>
      <c r="W61" s="23">
        <f t="shared" si="16"/>
        <v>2.043555358993121E-2</v>
      </c>
      <c r="X61" s="23">
        <f t="shared" si="30"/>
        <v>3.1585244031632063E-2</v>
      </c>
      <c r="Y61" s="23">
        <f t="shared" si="31"/>
        <v>-1.9803359080150518E-2</v>
      </c>
      <c r="Z61" s="26">
        <f t="shared" si="17"/>
        <v>-0.10394257844772579</v>
      </c>
      <c r="AA61" s="23">
        <f t="shared" si="18"/>
        <v>-5.9554710567621596</v>
      </c>
      <c r="AB61" s="24">
        <f t="shared" si="32"/>
        <v>1.9613293340903226E-2</v>
      </c>
      <c r="AD61" s="33">
        <f t="shared" si="33"/>
        <v>0.87571976200695256</v>
      </c>
      <c r="AE61" s="33">
        <f t="shared" si="19"/>
        <v>50.175046399199282</v>
      </c>
      <c r="AF61" s="33">
        <f t="shared" si="20"/>
        <v>-3.0551360097877955E-3</v>
      </c>
      <c r="AG61" s="33">
        <f t="shared" si="34"/>
        <v>5.5825842961425891E-2</v>
      </c>
      <c r="AH61" s="33">
        <f t="shared" si="35"/>
        <v>2.9605938909327278E-3</v>
      </c>
      <c r="AI61" s="35">
        <f t="shared" si="2"/>
        <v>-0.10555621687273085</v>
      </c>
      <c r="AJ61" s="33">
        <f t="shared" si="21"/>
        <v>-6.0479257281750867</v>
      </c>
      <c r="AK61" s="37">
        <f t="shared" si="36"/>
        <v>-2.9321886227493543E-3</v>
      </c>
      <c r="AM61" s="41">
        <f t="shared" si="22"/>
        <v>0.23940522198511829</v>
      </c>
      <c r="AN61" s="41">
        <f t="shared" si="37"/>
        <v>13.716908813139867</v>
      </c>
      <c r="AO61" s="42">
        <f t="shared" si="23"/>
        <v>-0.23940522198511829</v>
      </c>
      <c r="AP61" s="41">
        <f t="shared" si="38"/>
        <v>-0.44063916745467518</v>
      </c>
      <c r="AQ61" s="41">
        <f t="shared" si="39"/>
        <v>2.2665858061739903</v>
      </c>
      <c r="AR61" s="43">
        <f t="shared" si="3"/>
        <v>-0.12746641367719258</v>
      </c>
      <c r="AS61" s="41">
        <f t="shared" si="4"/>
        <v>-7.3032875333717673</v>
      </c>
      <c r="AU61" s="48">
        <f t="shared" si="40"/>
        <v>-2.2853341226731132</v>
      </c>
      <c r="AV61" s="48">
        <f t="shared" si="24"/>
        <v>-130.94000000640213</v>
      </c>
      <c r="AW61" s="49">
        <f t="shared" si="25"/>
        <v>2.1578677089959206</v>
      </c>
      <c r="AX61" s="48">
        <f t="shared" si="41"/>
        <v>-2.7679536748970599</v>
      </c>
      <c r="AY61" s="48">
        <f t="shared" si="42"/>
        <v>26.458224939093487</v>
      </c>
      <c r="AZ61" s="50">
        <f t="shared" si="26"/>
        <v>0.37524578917878088</v>
      </c>
      <c r="BA61" s="48">
        <f t="shared" si="27"/>
        <v>21.5</v>
      </c>
      <c r="BB61" s="52">
        <f t="shared" si="43"/>
        <v>-1.8330790825700376</v>
      </c>
      <c r="BC61" s="44">
        <f t="shared" si="28"/>
        <v>-2.2853341226731132</v>
      </c>
    </row>
    <row r="62" spans="1:55" x14ac:dyDescent="0.3">
      <c r="D62">
        <f t="shared" si="46"/>
        <v>0.60000000000000031</v>
      </c>
      <c r="F62" s="5">
        <f t="shared" si="44"/>
        <v>0.64329169669215469</v>
      </c>
      <c r="G62" s="6">
        <f t="shared" si="7"/>
        <v>36.857899216270326</v>
      </c>
      <c r="I62" s="9">
        <f t="shared" si="8"/>
        <v>0.64672995258163646</v>
      </c>
      <c r="J62" s="9">
        <f t="shared" si="9"/>
        <v>37.054896767623632</v>
      </c>
      <c r="K62" s="9">
        <f t="shared" si="10"/>
        <v>-6.0359012715033646</v>
      </c>
      <c r="L62" s="9">
        <f t="shared" si="11"/>
        <v>-0.1053463505130459</v>
      </c>
      <c r="M62" s="11">
        <f t="shared" si="0"/>
        <v>0.50315731906952554</v>
      </c>
      <c r="O62" s="15">
        <f t="shared" si="12"/>
        <v>0.86129586160621363</v>
      </c>
      <c r="P62" s="15">
        <f t="shared" si="13"/>
        <v>49.348617782119881</v>
      </c>
      <c r="Q62" s="15">
        <v>-6.0359012715033602</v>
      </c>
      <c r="R62" s="15">
        <f t="shared" si="14"/>
        <v>-0.10534635051304582</v>
      </c>
      <c r="S62" s="16">
        <f t="shared" si="1"/>
        <v>2.5318278622791235E-2</v>
      </c>
      <c r="U62" s="23">
        <f t="shared" si="29"/>
        <v>0.85242520534064259</v>
      </c>
      <c r="V62" s="23">
        <f t="shared" si="15"/>
        <v>48.840366616591382</v>
      </c>
      <c r="W62" s="23">
        <f t="shared" si="16"/>
        <v>2.0239420656522178E-2</v>
      </c>
      <c r="X62" s="23">
        <f t="shared" si="30"/>
        <v>3.1787638238197288E-2</v>
      </c>
      <c r="Y62" s="23">
        <f t="shared" si="31"/>
        <v>-1.9613293340903226E-2</v>
      </c>
      <c r="Z62" s="26">
        <f t="shared" si="17"/>
        <v>-0.10395605132273442</v>
      </c>
      <c r="AA62" s="23">
        <f t="shared" si="18"/>
        <v>-5.9562429956380614</v>
      </c>
      <c r="AB62" s="24">
        <f t="shared" si="32"/>
        <v>1.9425051912055125E-2</v>
      </c>
      <c r="AD62" s="33">
        <f t="shared" si="33"/>
        <v>0.87569044012072506</v>
      </c>
      <c r="AE62" s="33">
        <f t="shared" si="19"/>
        <v>50.17336637887108</v>
      </c>
      <c r="AF62" s="33">
        <f t="shared" si="20"/>
        <v>-3.0258141235602887E-3</v>
      </c>
      <c r="AG62" s="33">
        <f t="shared" si="34"/>
        <v>5.5795584820190286E-2</v>
      </c>
      <c r="AH62" s="33">
        <f t="shared" si="35"/>
        <v>2.9321886227506866E-3</v>
      </c>
      <c r="AI62" s="35">
        <f t="shared" si="2"/>
        <v>-0.10555420233637375</v>
      </c>
      <c r="AJ62" s="33">
        <f t="shared" si="21"/>
        <v>-6.0478103037441491</v>
      </c>
      <c r="AK62" s="37">
        <f t="shared" si="36"/>
        <v>-2.9040528016759382E-3</v>
      </c>
      <c r="AM62" s="41">
        <f t="shared" si="22"/>
        <v>0.21655188075838716</v>
      </c>
      <c r="AN62" s="41">
        <f t="shared" si="37"/>
        <v>12.407508813075845</v>
      </c>
      <c r="AO62" s="42">
        <f t="shared" si="23"/>
        <v>-0.21655188075838716</v>
      </c>
      <c r="AP62" s="41">
        <f t="shared" si="38"/>
        <v>-0.44280468626225905</v>
      </c>
      <c r="AQ62" s="41">
        <f t="shared" si="39"/>
        <v>2.2853341226731132</v>
      </c>
      <c r="AR62" s="43">
        <f t="shared" si="3"/>
        <v>0.11981531508924181</v>
      </c>
      <c r="AS62" s="41">
        <f t="shared" si="4"/>
        <v>6.864911875643684</v>
      </c>
      <c r="AU62" s="48">
        <f t="shared" si="40"/>
        <v>-2.3036649134988134</v>
      </c>
      <c r="AV62" s="48">
        <f t="shared" si="24"/>
        <v>-131.99027695585187</v>
      </c>
      <c r="AW62" s="49">
        <f t="shared" si="25"/>
        <v>2.4234802285880552</v>
      </c>
      <c r="AX62" s="48">
        <f t="shared" si="41"/>
        <v>-2.7437188726111792</v>
      </c>
      <c r="AY62" s="48">
        <f t="shared" si="42"/>
        <v>26.561251959213461</v>
      </c>
      <c r="AZ62" s="50">
        <f t="shared" si="26"/>
        <v>0.37524578917878088</v>
      </c>
      <c r="BA62" s="48">
        <f t="shared" si="27"/>
        <v>21.5</v>
      </c>
      <c r="BB62" s="52">
        <f t="shared" si="43"/>
        <v>-1.7922563463832795</v>
      </c>
      <c r="BC62" s="44">
        <f t="shared" si="28"/>
        <v>-2.3036649134988134</v>
      </c>
    </row>
    <row r="63" spans="1:55" x14ac:dyDescent="0.3">
      <c r="D63">
        <f t="shared" si="46"/>
        <v>0.61000000000000032</v>
      </c>
      <c r="F63" s="5">
        <f t="shared" si="44"/>
        <v>0.6483433805916049</v>
      </c>
      <c r="G63" s="6">
        <f t="shared" si="7"/>
        <v>37.147339383143013</v>
      </c>
      <c r="I63" s="9">
        <f t="shared" si="8"/>
        <v>0.65176152577233171</v>
      </c>
      <c r="J63" s="9">
        <f t="shared" si="9"/>
        <v>37.343184675761641</v>
      </c>
      <c r="K63" s="9">
        <f t="shared" si="10"/>
        <v>-6.0359012715033646</v>
      </c>
      <c r="L63" s="9">
        <f t="shared" si="11"/>
        <v>-0.1053463505130459</v>
      </c>
      <c r="M63" s="11">
        <f t="shared" si="0"/>
        <v>0.49195198772723892</v>
      </c>
      <c r="O63" s="15">
        <f t="shared" si="12"/>
        <v>0.86154904439244151</v>
      </c>
      <c r="P63" s="15">
        <f t="shared" si="13"/>
        <v>49.3631240872161</v>
      </c>
      <c r="Q63" s="15">
        <v>-6.0359012715033602</v>
      </c>
      <c r="R63" s="15">
        <f t="shared" si="14"/>
        <v>-0.10534635051304582</v>
      </c>
      <c r="S63" s="16">
        <f t="shared" si="1"/>
        <v>2.4754439659841587E-2</v>
      </c>
      <c r="U63" s="23">
        <f t="shared" si="29"/>
        <v>0.85261945585976318</v>
      </c>
      <c r="V63" s="23">
        <f t="shared" si="15"/>
        <v>48.851496351505219</v>
      </c>
      <c r="W63" s="23">
        <f t="shared" si="16"/>
        <v>2.0045170137401591E-2</v>
      </c>
      <c r="X63" s="23">
        <f t="shared" si="30"/>
        <v>3.1988089939571307E-2</v>
      </c>
      <c r="Y63" s="23">
        <f t="shared" si="31"/>
        <v>-1.9425051912058677E-2</v>
      </c>
      <c r="Z63" s="26">
        <f t="shared" si="17"/>
        <v>-0.1039693948943855</v>
      </c>
      <c r="AA63" s="23">
        <f t="shared" si="18"/>
        <v>-5.957007525977299</v>
      </c>
      <c r="AB63" s="24">
        <f t="shared" si="32"/>
        <v>1.923861724093423E-2</v>
      </c>
      <c r="AD63" s="33">
        <f t="shared" si="33"/>
        <v>0.87566139959270828</v>
      </c>
      <c r="AE63" s="33">
        <f t="shared" si="19"/>
        <v>50.171702479180887</v>
      </c>
      <c r="AF63" s="33">
        <f t="shared" si="20"/>
        <v>-2.9967735955435115E-3</v>
      </c>
      <c r="AG63" s="33">
        <f t="shared" si="34"/>
        <v>5.5765617084234852E-2</v>
      </c>
      <c r="AH63" s="33">
        <f t="shared" si="35"/>
        <v>2.9040528016777145E-3</v>
      </c>
      <c r="AI63" s="35">
        <f t="shared" si="2"/>
        <v>-0.10555220724139107</v>
      </c>
      <c r="AJ63" s="33">
        <f t="shared" si="21"/>
        <v>-6.0476959932219136</v>
      </c>
      <c r="AK63" s="37">
        <f t="shared" si="36"/>
        <v>-2.8761849122762584E-3</v>
      </c>
      <c r="AM63" s="41">
        <f t="shared" si="22"/>
        <v>0.19351523162339904</v>
      </c>
      <c r="AN63" s="41">
        <f t="shared" si="37"/>
        <v>11.087606043517328</v>
      </c>
      <c r="AO63" s="42">
        <f t="shared" si="23"/>
        <v>-0.19351523162339904</v>
      </c>
      <c r="AP63" s="41">
        <f t="shared" si="38"/>
        <v>-0.44473983857849303</v>
      </c>
      <c r="AQ63" s="41">
        <f t="shared" si="39"/>
        <v>2.3036649134988125</v>
      </c>
      <c r="AR63" s="43">
        <f t="shared" si="3"/>
        <v>0.36851259726482222</v>
      </c>
      <c r="AS63" s="41">
        <f t="shared" si="4"/>
        <v>21.114216520678557</v>
      </c>
      <c r="AU63" s="48">
        <f t="shared" si="40"/>
        <v>-2.3215874769626463</v>
      </c>
      <c r="AV63" s="48">
        <f t="shared" si="24"/>
        <v>-133.01716420038488</v>
      </c>
      <c r="AW63" s="49">
        <f t="shared" si="25"/>
        <v>2.6901000742274688</v>
      </c>
      <c r="AX63" s="48">
        <f t="shared" si="41"/>
        <v>-2.7168178718689044</v>
      </c>
      <c r="AY63" s="48">
        <f t="shared" si="42"/>
        <v>26.661984563941353</v>
      </c>
      <c r="AZ63" s="50">
        <f t="shared" si="26"/>
        <v>-7.9874327536835432E-2</v>
      </c>
      <c r="BA63" s="48">
        <f t="shared" si="27"/>
        <v>-4.5764618593062432</v>
      </c>
      <c r="BB63" s="52">
        <f t="shared" si="43"/>
        <v>6.6437034288976067</v>
      </c>
      <c r="BC63" s="44">
        <f t="shared" si="28"/>
        <v>-2.3215874769626463</v>
      </c>
    </row>
    <row r="64" spans="1:55" x14ac:dyDescent="0.3">
      <c r="D64">
        <f t="shared" si="46"/>
        <v>0.62000000000000033</v>
      </c>
      <c r="F64" s="5">
        <f t="shared" si="44"/>
        <v>0.65328380676636522</v>
      </c>
      <c r="G64" s="6">
        <f t="shared" si="7"/>
        <v>37.430404951952738</v>
      </c>
      <c r="I64" s="9">
        <f t="shared" si="8"/>
        <v>0.65668104564960406</v>
      </c>
      <c r="J64" s="9">
        <f t="shared" si="9"/>
        <v>37.625052401960062</v>
      </c>
      <c r="K64" s="9">
        <f t="shared" si="10"/>
        <v>-6.0359012715033646</v>
      </c>
      <c r="L64" s="9">
        <f t="shared" si="11"/>
        <v>-0.1053463505130459</v>
      </c>
      <c r="M64" s="11">
        <f t="shared" si="0"/>
        <v>0.48099619951138961</v>
      </c>
      <c r="O64" s="15">
        <f t="shared" si="12"/>
        <v>0.86179658878903997</v>
      </c>
      <c r="P64" s="15">
        <f t="shared" si="13"/>
        <v>49.377307336383311</v>
      </c>
      <c r="Q64" s="15">
        <v>-6.0359012715033602</v>
      </c>
      <c r="R64" s="15">
        <f t="shared" si="14"/>
        <v>-0.10534635051304582</v>
      </c>
      <c r="S64" s="16">
        <f t="shared" si="1"/>
        <v>2.4203157410595644E-2</v>
      </c>
      <c r="U64" s="23">
        <f t="shared" si="29"/>
        <v>0.85281184203217253</v>
      </c>
      <c r="V64" s="23">
        <f t="shared" si="15"/>
        <v>48.862519267220947</v>
      </c>
      <c r="W64" s="23">
        <f t="shared" si="16"/>
        <v>1.9852783964992238E-2</v>
      </c>
      <c r="X64" s="23">
        <f t="shared" si="30"/>
        <v>3.218661777922123E-2</v>
      </c>
      <c r="Y64" s="23">
        <f t="shared" si="31"/>
        <v>-1.9238617240935341E-2</v>
      </c>
      <c r="Z64" s="26">
        <f t="shared" si="17"/>
        <v>-0.10398261040222226</v>
      </c>
      <c r="AA64" s="23">
        <f t="shared" si="18"/>
        <v>-5.9577647188004672</v>
      </c>
      <c r="AB64" s="24">
        <f t="shared" si="32"/>
        <v>1.9053971958048033E-2</v>
      </c>
      <c r="AD64" s="33">
        <f t="shared" si="33"/>
        <v>0.87563263774358546</v>
      </c>
      <c r="AE64" s="33">
        <f t="shared" si="19"/>
        <v>50.170054546615162</v>
      </c>
      <c r="AF64" s="33">
        <f t="shared" si="20"/>
        <v>-2.9680117464206957E-3</v>
      </c>
      <c r="AG64" s="33">
        <f t="shared" si="34"/>
        <v>5.5735936966770643E-2</v>
      </c>
      <c r="AH64" s="33">
        <f t="shared" si="35"/>
        <v>2.8761849122815875E-3</v>
      </c>
      <c r="AI64" s="35">
        <f t="shared" si="2"/>
        <v>-0.1055502313652613</v>
      </c>
      <c r="AJ64" s="33">
        <f t="shared" si="21"/>
        <v>-6.0475827838588376</v>
      </c>
      <c r="AK64" s="37">
        <f t="shared" si="36"/>
        <v>-2.8485830927753586E-3</v>
      </c>
      <c r="AM64" s="41">
        <f t="shared" si="22"/>
        <v>0.17029935685377257</v>
      </c>
      <c r="AN64" s="41">
        <f t="shared" si="37"/>
        <v>9.7574344015134784</v>
      </c>
      <c r="AO64" s="42">
        <f t="shared" si="23"/>
        <v>-0.17029935685377257</v>
      </c>
      <c r="AP64" s="41">
        <f t="shared" si="38"/>
        <v>-0.44644283214703073</v>
      </c>
      <c r="AQ64" s="41">
        <f t="shared" si="39"/>
        <v>2.3215874769626472</v>
      </c>
      <c r="AR64" s="43">
        <f t="shared" si="3"/>
        <v>0.61859390842492168</v>
      </c>
      <c r="AS64" s="41">
        <f t="shared" si="4"/>
        <v>35.442820185250149</v>
      </c>
      <c r="AU64" s="48">
        <f t="shared" si="40"/>
        <v>-2.2551504426736702</v>
      </c>
      <c r="AV64" s="48">
        <f t="shared" si="24"/>
        <v>-129.21060253226059</v>
      </c>
      <c r="AW64" s="49">
        <f t="shared" si="25"/>
        <v>2.8737443510985918</v>
      </c>
      <c r="AX64" s="48">
        <f t="shared" si="41"/>
        <v>-2.6880804283579187</v>
      </c>
      <c r="AY64" s="48">
        <f t="shared" si="42"/>
        <v>18.364427687112304</v>
      </c>
      <c r="AZ64" s="50">
        <f t="shared" si="26"/>
        <v>-0.37524578917878088</v>
      </c>
      <c r="BA64" s="48">
        <f t="shared" si="27"/>
        <v>-21.5</v>
      </c>
      <c r="BB64" s="52">
        <f t="shared" si="43"/>
        <v>11.94475431435157</v>
      </c>
      <c r="BC64" s="44">
        <f t="shared" si="28"/>
        <v>-2.2551504426736702</v>
      </c>
    </row>
    <row r="65" spans="4:55" x14ac:dyDescent="0.3">
      <c r="D65">
        <f t="shared" si="46"/>
        <v>0.63000000000000034</v>
      </c>
      <c r="F65" s="5">
        <f t="shared" si="44"/>
        <v>0.65811542554419744</v>
      </c>
      <c r="G65" s="6">
        <f t="shared" si="7"/>
        <v>37.707236316138683</v>
      </c>
      <c r="I65" s="9">
        <f t="shared" si="8"/>
        <v>0.66149100764471791</v>
      </c>
      <c r="J65" s="9">
        <f t="shared" si="9"/>
        <v>37.90064292389841</v>
      </c>
      <c r="K65" s="9">
        <f t="shared" si="10"/>
        <v>-6.0359012715033646</v>
      </c>
      <c r="L65" s="9">
        <f t="shared" si="11"/>
        <v>-0.1053463505130459</v>
      </c>
      <c r="M65" s="11">
        <f t="shared" si="0"/>
        <v>0.47028439708770087</v>
      </c>
      <c r="O65" s="15">
        <f t="shared" si="12"/>
        <v>0.86203862036314594</v>
      </c>
      <c r="P65" s="15">
        <f t="shared" si="13"/>
        <v>49.391174724088486</v>
      </c>
      <c r="Q65" s="15">
        <v>-6.0359012715033602</v>
      </c>
      <c r="R65" s="15">
        <f t="shared" si="14"/>
        <v>-0.10534635051304582</v>
      </c>
      <c r="S65" s="16">
        <f t="shared" si="1"/>
        <v>2.3664152236594127E-2</v>
      </c>
      <c r="U65" s="23">
        <f t="shared" si="29"/>
        <v>0.85300238175175302</v>
      </c>
      <c r="V65" s="23">
        <f t="shared" si="15"/>
        <v>48.873436388982519</v>
      </c>
      <c r="W65" s="23">
        <f t="shared" si="16"/>
        <v>1.9662244245411742E-2</v>
      </c>
      <c r="X65" s="23">
        <f t="shared" si="30"/>
        <v>3.2383240221675345E-2</v>
      </c>
      <c r="Y65" s="23">
        <f t="shared" si="31"/>
        <v>-1.9053971958049587E-2</v>
      </c>
      <c r="Z65" s="26">
        <f t="shared" si="17"/>
        <v>-0.10399569907438393</v>
      </c>
      <c r="AA65" s="23">
        <f t="shared" si="18"/>
        <v>-5.9585146444747608</v>
      </c>
      <c r="AB65" s="24">
        <f t="shared" si="32"/>
        <v>1.8871098870345104E-2</v>
      </c>
      <c r="AD65" s="33">
        <f t="shared" si="33"/>
        <v>0.87560415191265772</v>
      </c>
      <c r="AE65" s="33">
        <f t="shared" si="19"/>
        <v>50.168422428727077</v>
      </c>
      <c r="AF65" s="33">
        <f t="shared" si="20"/>
        <v>-2.9395259154929576E-3</v>
      </c>
      <c r="AG65" s="33">
        <f t="shared" si="34"/>
        <v>5.5706541707615714E-2</v>
      </c>
      <c r="AH65" s="33">
        <f t="shared" si="35"/>
        <v>2.8485830927738043E-3</v>
      </c>
      <c r="AI65" s="35">
        <f t="shared" si="2"/>
        <v>-0.10554827449970938</v>
      </c>
      <c r="AJ65" s="33">
        <f t="shared" si="21"/>
        <v>-6.0474706637216382</v>
      </c>
      <c r="AK65" s="37">
        <f t="shared" si="36"/>
        <v>-2.8212452600409055E-3</v>
      </c>
      <c r="AM65" s="41">
        <f t="shared" si="22"/>
        <v>0.14774785242703586</v>
      </c>
      <c r="AN65" s="41">
        <f t="shared" si="37"/>
        <v>8.4653283761908718</v>
      </c>
      <c r="AO65" s="42">
        <f t="shared" si="23"/>
        <v>-0.14774785242703586</v>
      </c>
      <c r="AP65" s="41">
        <f t="shared" si="38"/>
        <v>-0.44792031067130111</v>
      </c>
      <c r="AQ65" s="41">
        <f t="shared" si="39"/>
        <v>2.2551504426736702</v>
      </c>
      <c r="AR65" s="43">
        <f t="shared" si="3"/>
        <v>0.7776719184033114</v>
      </c>
      <c r="AS65" s="41">
        <f t="shared" si="4"/>
        <v>44.557318770351877</v>
      </c>
      <c r="AU65" s="48">
        <f t="shared" si="40"/>
        <v>-2.1357028995301546</v>
      </c>
      <c r="AV65" s="48">
        <f t="shared" si="24"/>
        <v>-122.36676243693034</v>
      </c>
      <c r="AW65" s="49">
        <f t="shared" si="25"/>
        <v>2.913374817933466</v>
      </c>
      <c r="AX65" s="48">
        <f t="shared" si="41"/>
        <v>-2.6589466801785839</v>
      </c>
      <c r="AY65" s="48">
        <f t="shared" si="42"/>
        <v>3.9630466834874145</v>
      </c>
      <c r="AZ65" s="50">
        <f t="shared" si="26"/>
        <v>-0.37524578917878088</v>
      </c>
      <c r="BA65" s="48">
        <f t="shared" si="27"/>
        <v>-21.5</v>
      </c>
      <c r="BB65" s="52">
        <f t="shared" si="43"/>
        <v>11.678744212099591</v>
      </c>
      <c r="BC65" s="44">
        <f t="shared" si="28"/>
        <v>-2.1357028995301546</v>
      </c>
    </row>
    <row r="66" spans="4:55" x14ac:dyDescent="0.3">
      <c r="D66">
        <f t="shared" si="46"/>
        <v>0.64000000000000035</v>
      </c>
      <c r="F66" s="5">
        <f t="shared" si="44"/>
        <v>0.66284063328711706</v>
      </c>
      <c r="G66" s="6">
        <f t="shared" si="7"/>
        <v>37.977970777130516</v>
      </c>
      <c r="I66" s="9">
        <f t="shared" si="8"/>
        <v>0.66619385161559497</v>
      </c>
      <c r="J66" s="9">
        <f t="shared" si="9"/>
        <v>38.170096035138208</v>
      </c>
      <c r="K66" s="9">
        <f t="shared" si="10"/>
        <v>-6.0359012715033646</v>
      </c>
      <c r="L66" s="9">
        <f t="shared" si="11"/>
        <v>-0.1053463505130459</v>
      </c>
      <c r="M66" s="11">
        <f t="shared" ref="M66:M129" si="47">$B$4*$B$1*$B$2*$B$2*$B$5*$B$6*I66/(4*$B$3) + $B$4*$B$1*$B$2*$B$5*$B$5*$B$7*L66/(2*$B$3)</f>
        <v>0.45981114688392699</v>
      </c>
      <c r="O66" s="15">
        <f t="shared" si="12"/>
        <v>0.86227526188551185</v>
      </c>
      <c r="P66" s="15">
        <f t="shared" si="13"/>
        <v>49.404733284577603</v>
      </c>
      <c r="Q66" s="15">
        <v>-6.0359012715033602</v>
      </c>
      <c r="R66" s="15">
        <f t="shared" si="14"/>
        <v>-0.10534635051304582</v>
      </c>
      <c r="S66" s="16">
        <f t="shared" ref="S66:S129" si="48">$B$4*$B$1*$B$2*$B$2*$B$5*$B$6*O66/(4*$B$3) + $B$4*$B$1*$B$2*$B$5*$B$5*$B$7*R66/(2*$B$3)</f>
        <v>2.3137150726935785E-2</v>
      </c>
      <c r="U66" s="23">
        <f t="shared" si="29"/>
        <v>0.85319109274045646</v>
      </c>
      <c r="V66" s="23">
        <f t="shared" si="15"/>
        <v>48.884248732182968</v>
      </c>
      <c r="W66" s="23">
        <f t="shared" si="16"/>
        <v>1.9473533256708309E-2</v>
      </c>
      <c r="X66" s="23">
        <f t="shared" si="30"/>
        <v>3.2577975554242432E-2</v>
      </c>
      <c r="Y66" s="23">
        <f t="shared" si="31"/>
        <v>-1.8871098870343328E-2</v>
      </c>
      <c r="Z66" s="26">
        <f t="shared" si="17"/>
        <v>-0.10400866212754976</v>
      </c>
      <c r="AA66" s="23">
        <f t="shared" si="18"/>
        <v>-5.9592573727107672</v>
      </c>
      <c r="AB66" s="24">
        <f t="shared" si="32"/>
        <v>1.8689980956247965E-2</v>
      </c>
      <c r="AD66" s="33">
        <f t="shared" si="33"/>
        <v>0.8755759394600573</v>
      </c>
      <c r="AE66" s="33">
        <f t="shared" si="19"/>
        <v>50.166805974263362</v>
      </c>
      <c r="AF66" s="33">
        <f t="shared" si="20"/>
        <v>-2.9113134628925286E-3</v>
      </c>
      <c r="AG66" s="33">
        <f t="shared" si="34"/>
        <v>5.5677428572986791E-2</v>
      </c>
      <c r="AH66" s="33">
        <f t="shared" si="35"/>
        <v>2.8212452600429039E-3</v>
      </c>
      <c r="AI66" s="35">
        <f t="shared" ref="AI66:AI129" si="49">MAX($B$34*AF66+$B$35*AG66+$B$36*AH66,RADIANS(-21.5))</f>
        <v>-0.10554633644648874</v>
      </c>
      <c r="AJ66" s="33">
        <f t="shared" si="21"/>
        <v>-6.0473596214516236</v>
      </c>
      <c r="AK66" s="37">
        <f t="shared" si="36"/>
        <v>-2.7941691923265566E-3</v>
      </c>
      <c r="AM66" s="41">
        <f t="shared" si="22"/>
        <v>0.12639082343173433</v>
      </c>
      <c r="AN66" s="41">
        <f t="shared" si="37"/>
        <v>7.241660751821569</v>
      </c>
      <c r="AO66" s="42">
        <f t="shared" si="23"/>
        <v>-0.12639082343173433</v>
      </c>
      <c r="AP66" s="41">
        <f t="shared" si="38"/>
        <v>-0.44918421890561844</v>
      </c>
      <c r="AQ66" s="41">
        <f t="shared" si="39"/>
        <v>2.1357028995301537</v>
      </c>
      <c r="AR66" s="43">
        <f t="shared" ref="AR66:AR129" si="50">$B$55*AO66+$B$56*AP66+$B$57*AQ66</f>
        <v>0.87179466521281035</v>
      </c>
      <c r="AS66" s="41">
        <f t="shared" ref="AS66:AS129" si="51">DEGREES(AR66)</f>
        <v>49.950154918714603</v>
      </c>
      <c r="AU66" s="48">
        <f t="shared" si="40"/>
        <v>-2.0189154574091588</v>
      </c>
      <c r="AV66" s="48">
        <f t="shared" si="24"/>
        <v>-115.6753349032689</v>
      </c>
      <c r="AW66" s="49">
        <f t="shared" si="25"/>
        <v>2.8907101226219689</v>
      </c>
      <c r="AX66" s="48">
        <f t="shared" si="41"/>
        <v>-2.6300395789523643</v>
      </c>
      <c r="AY66" s="48">
        <f t="shared" si="42"/>
        <v>-2.2664695311497063</v>
      </c>
      <c r="AZ66" s="50">
        <f t="shared" si="26"/>
        <v>-0.37524578917878088</v>
      </c>
      <c r="BA66" s="48">
        <f t="shared" si="27"/>
        <v>-21.5</v>
      </c>
      <c r="BB66" s="52">
        <f t="shared" si="43"/>
        <v>11.418658164259936</v>
      </c>
      <c r="BC66" s="44">
        <f t="shared" si="28"/>
        <v>-2.0189154574091588</v>
      </c>
    </row>
    <row r="67" spans="4:55" x14ac:dyDescent="0.3">
      <c r="D67">
        <f t="shared" si="46"/>
        <v>0.65000000000000036</v>
      </c>
      <c r="F67" s="5">
        <f t="shared" ref="F67:F130" si="52">$B$22+($B$13-$B$22)*EXP(-$B$9*D67)</f>
        <v>0.6674617735799292</v>
      </c>
      <c r="G67" s="6">
        <f t="shared" ref="G67:G130" si="53">DEGREES(F67)</f>
        <v>38.242742612446499</v>
      </c>
      <c r="I67" s="9">
        <f t="shared" ref="I67:I130" si="54">I66 + M66*$B$11</f>
        <v>0.67079196308443423</v>
      </c>
      <c r="J67" s="9">
        <f t="shared" ref="J67:J130" si="55">DEGREES(I67)</f>
        <v>38.433548416033403</v>
      </c>
      <c r="K67" s="9">
        <f t="shared" ref="K67:K130" si="56">$B$19</f>
        <v>-6.0359012715033646</v>
      </c>
      <c r="L67" s="9">
        <f t="shared" ref="L67:L130" si="57">RADIANS(K67)</f>
        <v>-0.1053463505130459</v>
      </c>
      <c r="M67" s="11">
        <f t="shared" si="47"/>
        <v>0.44957113633366941</v>
      </c>
      <c r="O67" s="15">
        <f t="shared" ref="O67:O130" si="58">O66 + S66*$B$11</f>
        <v>0.86250663339278122</v>
      </c>
      <c r="P67" s="15">
        <f t="shared" ref="P67:P130" si="59">DEGREES(O67)</f>
        <v>49.417989895443718</v>
      </c>
      <c r="Q67" s="15">
        <v>-6.0359012715033602</v>
      </c>
      <c r="R67" s="15">
        <f t="shared" ref="R67:R130" si="60">RADIANS(Q67)</f>
        <v>-0.10534635051304582</v>
      </c>
      <c r="S67" s="16">
        <f t="shared" si="48"/>
        <v>2.2621885559589661E-2</v>
      </c>
      <c r="U67" s="23">
        <f t="shared" si="29"/>
        <v>0.85337799255001889</v>
      </c>
      <c r="V67" s="23">
        <f t="shared" ref="V67:V130" si="61">DEGREES(U67)</f>
        <v>48.894957302462693</v>
      </c>
      <c r="W67" s="23">
        <f t="shared" ref="W67:W130" si="62">$B$17 - U67</f>
        <v>1.9286633447145873E-2</v>
      </c>
      <c r="X67" s="23">
        <f t="shared" si="30"/>
        <v>3.2770841888713889E-2</v>
      </c>
      <c r="Y67" s="23">
        <f t="shared" si="31"/>
        <v>-1.8689980956243524E-2</v>
      </c>
      <c r="Z67" s="26">
        <f t="shared" ref="Z67:Z130" si="63">$B$25*W67+$B$26*X67+$B$27*Y67</f>
        <v>-0.10402150076693831</v>
      </c>
      <c r="AA67" s="23">
        <f t="shared" ref="AA67:AA130" si="64">DEGREES(Z67)</f>
        <v>-5.9599929725624214</v>
      </c>
      <c r="AB67" s="24">
        <f t="shared" si="32"/>
        <v>1.8510601361823475E-2</v>
      </c>
      <c r="AD67" s="33">
        <f t="shared" si="33"/>
        <v>0.87554799776813408</v>
      </c>
      <c r="AE67" s="33">
        <f t="shared" ref="AE67:AE130" si="65">DEGREES(AD67)</f>
        <v>50.165205033243701</v>
      </c>
      <c r="AF67" s="33">
        <f t="shared" ref="AF67:AF130" si="66">$B$17 - AD67</f>
        <v>-2.8833717709693119E-3</v>
      </c>
      <c r="AG67" s="33">
        <f t="shared" si="34"/>
        <v>5.5648594855277095E-2</v>
      </c>
      <c r="AH67" s="33">
        <f t="shared" si="35"/>
        <v>2.7941691923216716E-3</v>
      </c>
      <c r="AI67" s="35">
        <f t="shared" si="49"/>
        <v>-0.10554441701457717</v>
      </c>
      <c r="AJ67" s="33">
        <f t="shared" ref="AJ67:AJ130" si="67">DEGREES(AI67)</f>
        <v>-6.0472496461040279</v>
      </c>
      <c r="AK67" s="37">
        <f t="shared" si="36"/>
        <v>-2.7673525840901103E-3</v>
      </c>
      <c r="AM67" s="41">
        <f t="shared" ref="AM67:AM130" si="68">AM66 + BC66*$B$11</f>
        <v>0.10620166885764273</v>
      </c>
      <c r="AN67" s="41">
        <f t="shared" ref="AN67:AN130" si="69">DEGREES(AM67)</f>
        <v>6.0849074027888799</v>
      </c>
      <c r="AO67" s="42">
        <f t="shared" ref="AO67:AO130" si="70">$B$47 - AM67</f>
        <v>-0.10620166885764273</v>
      </c>
      <c r="AP67" s="41">
        <f t="shared" si="38"/>
        <v>-0.45024623559419485</v>
      </c>
      <c r="AQ67" s="41">
        <f t="shared" si="39"/>
        <v>2.0189154574091592</v>
      </c>
      <c r="AR67" s="43">
        <f t="shared" si="50"/>
        <v>0.95689876883273195</v>
      </c>
      <c r="AS67" s="41">
        <f t="shared" si="51"/>
        <v>54.826260875380143</v>
      </c>
      <c r="AU67" s="48">
        <f t="shared" si="40"/>
        <v>-1.9047288757665595</v>
      </c>
      <c r="AV67" s="48">
        <f t="shared" ref="AV67:AV130" si="71">DEGREES(AU67)</f>
        <v>-109.13292569812197</v>
      </c>
      <c r="AW67" s="49">
        <f t="shared" ref="AW67:AW130" si="72">AR67 - AU67</f>
        <v>2.8616276445992916</v>
      </c>
      <c r="AX67" s="48">
        <f t="shared" si="41"/>
        <v>-2.6014233025063715</v>
      </c>
      <c r="AY67" s="48">
        <f t="shared" si="42"/>
        <v>-2.9082478022677272</v>
      </c>
      <c r="AZ67" s="50">
        <f t="shared" ref="AZ67:AZ130" si="73">MIN(MAX($B$50*AW67+$B$51*AX67+$B$52*AY67,RADIANS(-21.5)),RADIANS(21.5))</f>
        <v>-0.37524578917878088</v>
      </c>
      <c r="BA67" s="48">
        <f t="shared" ref="BA67:BA130" si="74">DEGREES(AZ67)</f>
        <v>-21.5</v>
      </c>
      <c r="BB67" s="52">
        <f t="shared" si="43"/>
        <v>11.164364241930727</v>
      </c>
      <c r="BC67" s="44">
        <f t="shared" ref="BC67:BC130" si="75">AU67</f>
        <v>-1.9047288757665595</v>
      </c>
    </row>
    <row r="68" spans="4:55" x14ac:dyDescent="0.3">
      <c r="D68">
        <f t="shared" ref="D68:D131" si="76">D67+$B$11</f>
        <v>0.66000000000000036</v>
      </c>
      <c r="F68" s="5">
        <f t="shared" si="52"/>
        <v>0.67198113839258755</v>
      </c>
      <c r="G68" s="6">
        <f t="shared" si="53"/>
        <v>38.501683142291753</v>
      </c>
      <c r="I68" s="9">
        <f t="shared" si="54"/>
        <v>0.67528767444777094</v>
      </c>
      <c r="J68" s="9">
        <f t="shared" si="55"/>
        <v>38.691133703061602</v>
      </c>
      <c r="K68" s="9">
        <f t="shared" si="56"/>
        <v>-6.0359012715033646</v>
      </c>
      <c r="L68" s="9">
        <f t="shared" si="57"/>
        <v>-0.1053463505130459</v>
      </c>
      <c r="M68" s="11">
        <f t="shared" si="47"/>
        <v>0.4395591711815714</v>
      </c>
      <c r="O68" s="15">
        <f t="shared" si="58"/>
        <v>0.86273285224837715</v>
      </c>
      <c r="P68" s="15">
        <f t="shared" si="59"/>
        <v>49.430951281115647</v>
      </c>
      <c r="Q68" s="15">
        <v>-6.0359012715033602</v>
      </c>
      <c r="R68" s="15">
        <f t="shared" si="60"/>
        <v>-0.10534635051304582</v>
      </c>
      <c r="S68" s="16">
        <f t="shared" si="48"/>
        <v>2.2118095365796231E-2</v>
      </c>
      <c r="U68" s="23">
        <f t="shared" ref="U68:U131" si="77">U67 + AB67*$B$11</f>
        <v>0.8535630985636371</v>
      </c>
      <c r="V68" s="23">
        <f t="shared" si="61"/>
        <v>48.905563095805505</v>
      </c>
      <c r="W68" s="23">
        <f t="shared" si="62"/>
        <v>1.9101527433527665E-2</v>
      </c>
      <c r="X68" s="23">
        <f t="shared" ref="X68:X131" si="78">X67+($B$11*W68)</f>
        <v>3.2961857163049169E-2</v>
      </c>
      <c r="Y68" s="23">
        <f t="shared" ref="Y68:Y131" si="79">(W68-W67)/$B$11</f>
        <v>-1.8510601361820811E-2</v>
      </c>
      <c r="Z68" s="26">
        <f t="shared" si="63"/>
        <v>-0.10403421618634456</v>
      </c>
      <c r="AA68" s="23">
        <f t="shared" si="64"/>
        <v>-5.9607215124291386</v>
      </c>
      <c r="AB68" s="24">
        <f t="shared" ref="AB68:AB131" si="80">$B$4*$B$1*$B$2*$B$2*$B$5*$B$6*U68/(4*$B$3) + $B$4*$B$1*$B$2*$B$5*$B$5*$B$7*Z68/(2*$B$3)</f>
        <v>1.8332943397735946E-2</v>
      </c>
      <c r="AD68" s="33">
        <f t="shared" ref="AD68:AD131" si="81">AD67 + AK67*$B$11</f>
        <v>0.8755203242422932</v>
      </c>
      <c r="AE68" s="33">
        <f t="shared" si="65"/>
        <v>50.163619457008778</v>
      </c>
      <c r="AF68" s="33">
        <f t="shared" si="66"/>
        <v>-2.8556982451284352E-3</v>
      </c>
      <c r="AG68" s="33">
        <f t="shared" ref="AG68:AG131" si="82">AG67+($B$11*AF68)</f>
        <v>5.5620037872825809E-2</v>
      </c>
      <c r="AH68" s="33">
        <f t="shared" ref="AH68:AH131" si="83">(AF68-AF67)/$B$11</f>
        <v>2.7673525840876678E-3</v>
      </c>
      <c r="AI68" s="35">
        <f t="shared" si="49"/>
        <v>-0.10554251601831519</v>
      </c>
      <c r="AJ68" s="33">
        <f t="shared" si="67"/>
        <v>-6.047140727041346</v>
      </c>
      <c r="AK68" s="37">
        <f t="shared" ref="AK68:AK131" si="84">$B$4*$B$1*$B$2*$B$2*$B$5*$B$6*AD68/(4*$B$3) + $B$4*$B$1*$B$2*$B$5*$B$5*$B$7*AI68/(2*$B$3)</f>
        <v>-2.7407930822014315E-3</v>
      </c>
      <c r="AM68" s="41">
        <f t="shared" si="68"/>
        <v>8.7154380099977141E-2</v>
      </c>
      <c r="AN68" s="41">
        <f t="shared" si="69"/>
        <v>4.9935781458076596</v>
      </c>
      <c r="AO68" s="42">
        <f t="shared" si="70"/>
        <v>-8.7154380099977141E-2</v>
      </c>
      <c r="AP68" s="41">
        <f t="shared" ref="AP68:AP131" si="85">AP67+($B$11*AO68)</f>
        <v>-0.45111777939519465</v>
      </c>
      <c r="AQ68" s="41">
        <f t="shared" ref="AQ68:AQ131" si="86">(AO68-AO67)/$B$11</f>
        <v>1.9047288757665592</v>
      </c>
      <c r="AR68" s="43">
        <f t="shared" si="50"/>
        <v>1.0331850747667879</v>
      </c>
      <c r="AS68" s="41">
        <f t="shared" si="51"/>
        <v>59.197144240045354</v>
      </c>
      <c r="AU68" s="48">
        <f t="shared" ref="AU68:AU131" si="87">AU67 + BB67*$B$11</f>
        <v>-1.7930852333472522</v>
      </c>
      <c r="AV68" s="48">
        <f t="shared" si="71"/>
        <v>-102.73621617802793</v>
      </c>
      <c r="AW68" s="49">
        <f t="shared" si="72"/>
        <v>2.8262703081140401</v>
      </c>
      <c r="AX68" s="48">
        <f t="shared" ref="AX68:AX131" si="88">AX67+($B$11*AW68)</f>
        <v>-2.5731605994252313</v>
      </c>
      <c r="AY68" s="48">
        <f t="shared" ref="AY68:AY131" si="89">(AW68-AW67)/$B$11</f>
        <v>-3.5357336485251523</v>
      </c>
      <c r="AZ68" s="50">
        <f t="shared" si="73"/>
        <v>-0.37524578917878088</v>
      </c>
      <c r="BA68" s="48">
        <f t="shared" si="74"/>
        <v>-21.5</v>
      </c>
      <c r="BB68" s="52">
        <f t="shared" ref="BB68:BB131" si="90">$B$4*$B$1*$B$2*$B$2*$B$5*$B$6*AU68/(4*$B$3) + $B$4*$B$1*$B$2*$B$5*$B$5*$B$7*AZ68/(2*$B$3)</f>
        <v>10.9157334542714</v>
      </c>
      <c r="BC68" s="44">
        <f t="shared" si="75"/>
        <v>-1.7930852333472522</v>
      </c>
    </row>
    <row r="69" spans="4:55" x14ac:dyDescent="0.3">
      <c r="D69">
        <f t="shared" si="76"/>
        <v>0.67000000000000037</v>
      </c>
      <c r="F69" s="5">
        <f t="shared" si="52"/>
        <v>0.67640096921695425</v>
      </c>
      <c r="G69" s="6">
        <f t="shared" si="53"/>
        <v>38.754920794689795</v>
      </c>
      <c r="I69" s="9">
        <f t="shared" si="54"/>
        <v>0.67968326615958663</v>
      </c>
      <c r="J69" s="9">
        <f t="shared" si="55"/>
        <v>38.942982556611327</v>
      </c>
      <c r="K69" s="9">
        <f t="shared" si="56"/>
        <v>-6.0359012715033646</v>
      </c>
      <c r="L69" s="9">
        <f t="shared" si="57"/>
        <v>-0.1053463505130459</v>
      </c>
      <c r="M69" s="11">
        <f t="shared" si="47"/>
        <v>0.4297701728485277</v>
      </c>
      <c r="O69" s="15">
        <f t="shared" si="58"/>
        <v>0.86295403320203512</v>
      </c>
      <c r="P69" s="15">
        <f t="shared" si="59"/>
        <v>49.443624016268927</v>
      </c>
      <c r="Q69" s="15">
        <v>-6.0359012715033602</v>
      </c>
      <c r="R69" s="15">
        <f t="shared" si="60"/>
        <v>-0.10534635051304582</v>
      </c>
      <c r="S69" s="16">
        <f t="shared" si="48"/>
        <v>2.1625524597488122E-2</v>
      </c>
      <c r="U69" s="23">
        <f t="shared" si="77"/>
        <v>0.85374642799761447</v>
      </c>
      <c r="V69" s="23">
        <f t="shared" si="61"/>
        <v>48.916067098632929</v>
      </c>
      <c r="W69" s="23">
        <f t="shared" si="62"/>
        <v>1.8918197999550301E-2</v>
      </c>
      <c r="X69" s="23">
        <f t="shared" si="78"/>
        <v>3.3151039143044674E-2</v>
      </c>
      <c r="Y69" s="23">
        <f t="shared" si="79"/>
        <v>-1.833294339773639E-2</v>
      </c>
      <c r="Z69" s="26">
        <f t="shared" si="63"/>
        <v>-0.10404680956820127</v>
      </c>
      <c r="AA69" s="23">
        <f t="shared" si="64"/>
        <v>-5.9614430600593238</v>
      </c>
      <c r="AB69" s="24">
        <f t="shared" si="80"/>
        <v>1.8156990536709605E-2</v>
      </c>
      <c r="AD69" s="33">
        <f t="shared" si="81"/>
        <v>0.87549291631147119</v>
      </c>
      <c r="AE69" s="33">
        <f t="shared" si="65"/>
        <v>50.162049098247486</v>
      </c>
      <c r="AF69" s="33">
        <f t="shared" si="66"/>
        <v>-2.8282903143064253E-3</v>
      </c>
      <c r="AG69" s="33">
        <f t="shared" si="82"/>
        <v>5.5591754969682744E-2</v>
      </c>
      <c r="AH69" s="33">
        <f t="shared" si="83"/>
        <v>2.7407930822009874E-3</v>
      </c>
      <c r="AI69" s="35">
        <f t="shared" si="49"/>
        <v>-0.10554063327616364</v>
      </c>
      <c r="AJ69" s="33">
        <f t="shared" si="67"/>
        <v>-6.0470328538621514</v>
      </c>
      <c r="AK69" s="37">
        <f t="shared" si="84"/>
        <v>-2.7144883099237127E-3</v>
      </c>
      <c r="AM69" s="41">
        <f t="shared" si="68"/>
        <v>6.9223527766504617E-2</v>
      </c>
      <c r="AN69" s="41">
        <f t="shared" si="69"/>
        <v>3.9662159840273805</v>
      </c>
      <c r="AO69" s="42">
        <f t="shared" si="70"/>
        <v>-6.9223527766504617E-2</v>
      </c>
      <c r="AP69" s="41">
        <f t="shared" si="85"/>
        <v>-0.45181001467285969</v>
      </c>
      <c r="AQ69" s="41">
        <f t="shared" si="86"/>
        <v>1.7930852333472524</v>
      </c>
      <c r="AR69" s="43">
        <f t="shared" si="50"/>
        <v>1.1008499556822062</v>
      </c>
      <c r="AS69" s="41">
        <f t="shared" si="51"/>
        <v>63.074056337754136</v>
      </c>
      <c r="AU69" s="48">
        <f t="shared" si="87"/>
        <v>-1.6839278988045383</v>
      </c>
      <c r="AV69" s="48">
        <f t="shared" si="71"/>
        <v>-96.481961605832822</v>
      </c>
      <c r="AW69" s="49">
        <f t="shared" si="72"/>
        <v>2.7847778544867445</v>
      </c>
      <c r="AX69" s="48">
        <f t="shared" si="88"/>
        <v>-2.5453128208803637</v>
      </c>
      <c r="AY69" s="48">
        <f t="shared" si="89"/>
        <v>-4.1492453627295589</v>
      </c>
      <c r="AZ69" s="50">
        <f t="shared" si="73"/>
        <v>-0.37524578917878088</v>
      </c>
      <c r="BA69" s="48">
        <f t="shared" si="74"/>
        <v>-21.5</v>
      </c>
      <c r="BB69" s="52">
        <f t="shared" si="90"/>
        <v>10.672639683071992</v>
      </c>
      <c r="BC69" s="44">
        <f t="shared" si="75"/>
        <v>-1.6839278988045383</v>
      </c>
    </row>
    <row r="70" spans="4:55" x14ac:dyDescent="0.3">
      <c r="D70">
        <f t="shared" si="76"/>
        <v>0.68000000000000038</v>
      </c>
      <c r="F70" s="5">
        <f t="shared" si="52"/>
        <v>0.68072345817852398</v>
      </c>
      <c r="G70" s="6">
        <f t="shared" si="53"/>
        <v>39.002581169179628</v>
      </c>
      <c r="I70" s="9">
        <f t="shared" si="54"/>
        <v>0.68398096788807194</v>
      </c>
      <c r="J70" s="9">
        <f t="shared" si="55"/>
        <v>39.189222727259612</v>
      </c>
      <c r="K70" s="9">
        <f t="shared" si="56"/>
        <v>-6.0359012715033646</v>
      </c>
      <c r="L70" s="9">
        <f t="shared" si="57"/>
        <v>-0.1053463505130459</v>
      </c>
      <c r="M70" s="11">
        <f t="shared" si="47"/>
        <v>0.42019917585556876</v>
      </c>
      <c r="O70" s="15">
        <f t="shared" si="58"/>
        <v>0.86317028844801003</v>
      </c>
      <c r="P70" s="15">
        <f t="shared" si="59"/>
        <v>49.456014529160853</v>
      </c>
      <c r="Q70" s="15">
        <v>-6.0359012715033602</v>
      </c>
      <c r="R70" s="15">
        <f t="shared" si="60"/>
        <v>-0.10534635051304582</v>
      </c>
      <c r="S70" s="16">
        <f t="shared" si="48"/>
        <v>2.1143923397660913E-2</v>
      </c>
      <c r="U70" s="23">
        <f t="shared" si="77"/>
        <v>0.85392799790298157</v>
      </c>
      <c r="V70" s="23">
        <f t="shared" si="61"/>
        <v>48.926470287897054</v>
      </c>
      <c r="W70" s="23">
        <f t="shared" si="62"/>
        <v>1.8736628094183194E-2</v>
      </c>
      <c r="X70" s="23">
        <f t="shared" si="78"/>
        <v>3.3338405423986507E-2</v>
      </c>
      <c r="Y70" s="23">
        <f t="shared" si="79"/>
        <v>-1.8156990536710715E-2</v>
      </c>
      <c r="Z70" s="26">
        <f t="shared" si="63"/>
        <v>-0.10405928208365585</v>
      </c>
      <c r="AA70" s="23">
        <f t="shared" si="64"/>
        <v>-5.9621576825547828</v>
      </c>
      <c r="AB70" s="24">
        <f t="shared" si="80"/>
        <v>1.798272641134302E-2</v>
      </c>
      <c r="AD70" s="33">
        <f t="shared" si="81"/>
        <v>0.87546577142837201</v>
      </c>
      <c r="AE70" s="33">
        <f t="shared" si="65"/>
        <v>50.160493811010525</v>
      </c>
      <c r="AF70" s="33">
        <f t="shared" si="66"/>
        <v>-2.8011454312072415E-3</v>
      </c>
      <c r="AG70" s="33">
        <f t="shared" si="82"/>
        <v>5.5563743515370669E-2</v>
      </c>
      <c r="AH70" s="33">
        <f t="shared" si="83"/>
        <v>2.7144883099183836E-3</v>
      </c>
      <c r="AI70" s="35">
        <f t="shared" si="49"/>
        <v>-0.10553876860987645</v>
      </c>
      <c r="AJ70" s="33">
        <f t="shared" si="67"/>
        <v>-6.0469260163536944</v>
      </c>
      <c r="AK70" s="37">
        <f t="shared" si="84"/>
        <v>-2.6884358826992916E-3</v>
      </c>
      <c r="AM70" s="41">
        <f t="shared" si="68"/>
        <v>5.2384248778459236E-2</v>
      </c>
      <c r="AN70" s="41">
        <f t="shared" si="69"/>
        <v>3.0013963679690523</v>
      </c>
      <c r="AO70" s="42">
        <f t="shared" si="70"/>
        <v>-5.2384248778459236E-2</v>
      </c>
      <c r="AP70" s="41">
        <f t="shared" si="85"/>
        <v>-0.45233385716064428</v>
      </c>
      <c r="AQ70" s="41">
        <f t="shared" si="86"/>
        <v>1.6839278988045381</v>
      </c>
      <c r="AR70" s="43">
        <f t="shared" si="50"/>
        <v>1.1600854110199457</v>
      </c>
      <c r="AS70" s="41">
        <f t="shared" si="51"/>
        <v>66.467997926142289</v>
      </c>
      <c r="AU70" s="48">
        <f t="shared" si="87"/>
        <v>-1.5772015019738184</v>
      </c>
      <c r="AV70" s="48">
        <f t="shared" si="71"/>
        <v>-90.366989504794176</v>
      </c>
      <c r="AW70" s="49">
        <f t="shared" si="72"/>
        <v>2.7372869129937643</v>
      </c>
      <c r="AX70" s="48">
        <f t="shared" si="88"/>
        <v>-2.5179399517504262</v>
      </c>
      <c r="AY70" s="48">
        <f t="shared" si="89"/>
        <v>-4.7490941492980276</v>
      </c>
      <c r="AZ70" s="50">
        <f t="shared" si="73"/>
        <v>-0.37524578917878088</v>
      </c>
      <c r="BA70" s="48">
        <f t="shared" si="74"/>
        <v>-21.5</v>
      </c>
      <c r="BB70" s="52">
        <f t="shared" si="90"/>
        <v>10.434959618779548</v>
      </c>
      <c r="BC70" s="44">
        <f t="shared" si="75"/>
        <v>-1.5772015019738184</v>
      </c>
    </row>
    <row r="71" spans="4:55" x14ac:dyDescent="0.3">
      <c r="D71">
        <f t="shared" si="76"/>
        <v>0.69000000000000039</v>
      </c>
      <c r="F71" s="5">
        <f t="shared" si="52"/>
        <v>0.68495074912366327</v>
      </c>
      <c r="G71" s="6">
        <f t="shared" si="53"/>
        <v>39.244787099109978</v>
      </c>
      <c r="I71" s="9">
        <f t="shared" si="54"/>
        <v>0.68818295964662768</v>
      </c>
      <c r="J71" s="9">
        <f t="shared" si="55"/>
        <v>39.429979120573606</v>
      </c>
      <c r="K71" s="9">
        <f t="shared" si="56"/>
        <v>-6.0359012715033646</v>
      </c>
      <c r="L71" s="9">
        <f t="shared" si="57"/>
        <v>-0.1053463505130459</v>
      </c>
      <c r="M71" s="11">
        <f t="shared" si="47"/>
        <v>0.4108413253051193</v>
      </c>
      <c r="O71" s="15">
        <f t="shared" si="58"/>
        <v>0.86338172768198662</v>
      </c>
      <c r="P71" s="15">
        <f t="shared" si="59"/>
        <v>49.46812910489119</v>
      </c>
      <c r="Q71" s="15">
        <v>-6.0359012715033602</v>
      </c>
      <c r="R71" s="15">
        <f t="shared" si="60"/>
        <v>-0.10534635051304582</v>
      </c>
      <c r="S71" s="16">
        <f t="shared" si="48"/>
        <v>2.0673047473636297E-2</v>
      </c>
      <c r="U71" s="23">
        <f t="shared" si="77"/>
        <v>0.85410782516709505</v>
      </c>
      <c r="V71" s="23">
        <f t="shared" si="61"/>
        <v>48.936773631172144</v>
      </c>
      <c r="W71" s="23">
        <f t="shared" si="62"/>
        <v>1.855680083006972E-2</v>
      </c>
      <c r="X71" s="23">
        <f t="shared" si="78"/>
        <v>3.3523973432287205E-2</v>
      </c>
      <c r="Y71" s="23">
        <f t="shared" si="79"/>
        <v>-1.7982726411347461E-2</v>
      </c>
      <c r="Z71" s="26">
        <f t="shared" si="63"/>
        <v>-0.10407163489265711</v>
      </c>
      <c r="AA71" s="23">
        <f t="shared" si="64"/>
        <v>-5.9628654463756865</v>
      </c>
      <c r="AB71" s="24">
        <f t="shared" si="80"/>
        <v>1.7810134812143108E-2</v>
      </c>
      <c r="AD71" s="33">
        <f t="shared" si="81"/>
        <v>0.87543888706954498</v>
      </c>
      <c r="AE71" s="33">
        <f t="shared" si="65"/>
        <v>50.158953450714826</v>
      </c>
      <c r="AF71" s="33">
        <f t="shared" si="66"/>
        <v>-2.774261072380213E-3</v>
      </c>
      <c r="AG71" s="33">
        <f t="shared" si="82"/>
        <v>5.5536000904646866E-2</v>
      </c>
      <c r="AH71" s="33">
        <f t="shared" si="83"/>
        <v>2.6884358827028443E-3</v>
      </c>
      <c r="AI71" s="35">
        <f t="shared" si="49"/>
        <v>-0.10553692184394682</v>
      </c>
      <c r="AJ71" s="33">
        <f t="shared" si="67"/>
        <v>-6.0468202044601789</v>
      </c>
      <c r="AK71" s="37">
        <f t="shared" si="84"/>
        <v>-2.6626334185402278E-3</v>
      </c>
      <c r="AM71" s="41">
        <f t="shared" si="68"/>
        <v>3.6612233758721052E-2</v>
      </c>
      <c r="AN71" s="41">
        <f t="shared" si="69"/>
        <v>2.0977264729211105</v>
      </c>
      <c r="AO71" s="42">
        <f t="shared" si="70"/>
        <v>-3.6612233758721052E-2</v>
      </c>
      <c r="AP71" s="41">
        <f t="shared" si="85"/>
        <v>-0.45269997949823149</v>
      </c>
      <c r="AQ71" s="41">
        <f t="shared" si="86"/>
        <v>1.5772015019738184</v>
      </c>
      <c r="AR71" s="43">
        <f t="shared" si="50"/>
        <v>1.2110791643866079</v>
      </c>
      <c r="AS71" s="41">
        <f t="shared" si="51"/>
        <v>69.389724775583062</v>
      </c>
      <c r="AU71" s="48">
        <f t="shared" si="87"/>
        <v>-1.472851905786023</v>
      </c>
      <c r="AV71" s="48">
        <f t="shared" si="71"/>
        <v>-84.388198049339067</v>
      </c>
      <c r="AW71" s="49">
        <f t="shared" si="72"/>
        <v>2.6839310701726307</v>
      </c>
      <c r="AX71" s="48">
        <f t="shared" si="88"/>
        <v>-2.4911006410486998</v>
      </c>
      <c r="AY71" s="48">
        <f t="shared" si="89"/>
        <v>-5.3355842821133592</v>
      </c>
      <c r="AZ71" s="50">
        <f t="shared" si="73"/>
        <v>-0.35898293683729499</v>
      </c>
      <c r="BA71" s="48">
        <f t="shared" si="74"/>
        <v>-20.568207197988411</v>
      </c>
      <c r="BB71" s="52">
        <f t="shared" si="90"/>
        <v>9.9025559463616748</v>
      </c>
      <c r="BC71" s="44">
        <f t="shared" si="75"/>
        <v>-1.472851905786023</v>
      </c>
    </row>
    <row r="72" spans="4:55" x14ac:dyDescent="0.3">
      <c r="D72">
        <f t="shared" si="76"/>
        <v>0.7000000000000004</v>
      </c>
      <c r="F72" s="5">
        <f t="shared" si="52"/>
        <v>0.6890849386829041</v>
      </c>
      <c r="G72" s="6">
        <f t="shared" si="53"/>
        <v>39.481658712561526</v>
      </c>
      <c r="I72" s="9">
        <f t="shared" si="54"/>
        <v>0.6922913728996789</v>
      </c>
      <c r="J72" s="9">
        <f t="shared" si="55"/>
        <v>39.66537386046906</v>
      </c>
      <c r="K72" s="9">
        <f t="shared" si="56"/>
        <v>-6.0359012715033646</v>
      </c>
      <c r="L72" s="9">
        <f t="shared" si="57"/>
        <v>-0.1053463505130459</v>
      </c>
      <c r="M72" s="11">
        <f t="shared" si="47"/>
        <v>0.4016918744183442</v>
      </c>
      <c r="O72" s="15">
        <f t="shared" si="58"/>
        <v>0.86358845815672303</v>
      </c>
      <c r="P72" s="15">
        <f t="shared" si="59"/>
        <v>49.479973888590322</v>
      </c>
      <c r="Q72" s="15">
        <v>-6.0359012715033602</v>
      </c>
      <c r="R72" s="15">
        <f t="shared" si="60"/>
        <v>-0.10534635051304582</v>
      </c>
      <c r="S72" s="16">
        <f t="shared" si="48"/>
        <v>2.0212657973140979E-2</v>
      </c>
      <c r="U72" s="23">
        <f t="shared" si="77"/>
        <v>0.85428592651521651</v>
      </c>
      <c r="V72" s="23">
        <f t="shared" si="61"/>
        <v>48.946978086745091</v>
      </c>
      <c r="W72" s="23">
        <f t="shared" si="62"/>
        <v>1.8378699481948257E-2</v>
      </c>
      <c r="X72" s="23">
        <f t="shared" si="78"/>
        <v>3.3707760427106687E-2</v>
      </c>
      <c r="Y72" s="23">
        <f t="shared" si="79"/>
        <v>-1.7810134812146217E-2</v>
      </c>
      <c r="Z72" s="26">
        <f t="shared" si="63"/>
        <v>-0.10408386914404916</v>
      </c>
      <c r="AA72" s="23">
        <f t="shared" si="64"/>
        <v>-5.9635664173459526</v>
      </c>
      <c r="AB72" s="24">
        <f t="shared" si="80"/>
        <v>1.7639199685743456E-2</v>
      </c>
      <c r="AD72" s="33">
        <f t="shared" si="81"/>
        <v>0.8754122607353596</v>
      </c>
      <c r="AE72" s="33">
        <f t="shared" si="65"/>
        <v>50.157427874142094</v>
      </c>
      <c r="AF72" s="33">
        <f t="shared" si="66"/>
        <v>-2.7476347381948374E-3</v>
      </c>
      <c r="AG72" s="33">
        <f t="shared" si="82"/>
        <v>5.5508524557264918E-2</v>
      </c>
      <c r="AH72" s="33">
        <f t="shared" si="83"/>
        <v>2.6626334185375633E-3</v>
      </c>
      <c r="AI72" s="35">
        <f t="shared" si="49"/>
        <v>-0.10553509280523285</v>
      </c>
      <c r="AJ72" s="33">
        <f t="shared" si="67"/>
        <v>-6.0467154082613019</v>
      </c>
      <c r="AK72" s="37">
        <f t="shared" si="84"/>
        <v>-2.6370785448788236E-3</v>
      </c>
      <c r="AM72" s="41">
        <f t="shared" si="68"/>
        <v>2.1883714700860823E-2</v>
      </c>
      <c r="AN72" s="41">
        <f t="shared" si="69"/>
        <v>1.2538444924277199</v>
      </c>
      <c r="AO72" s="42">
        <f t="shared" si="70"/>
        <v>-2.1883714700860823E-2</v>
      </c>
      <c r="AP72" s="41">
        <f t="shared" si="85"/>
        <v>-0.45291881664524009</v>
      </c>
      <c r="AQ72" s="41">
        <f t="shared" si="86"/>
        <v>1.472851905786023</v>
      </c>
      <c r="AR72" s="43">
        <f t="shared" si="50"/>
        <v>1.2540147587774149</v>
      </c>
      <c r="AS72" s="41">
        <f t="shared" si="51"/>
        <v>71.849753125061881</v>
      </c>
      <c r="AU72" s="48">
        <f t="shared" si="87"/>
        <v>-1.3738263463224063</v>
      </c>
      <c r="AV72" s="48">
        <f t="shared" si="71"/>
        <v>-78.714451428152074</v>
      </c>
      <c r="AW72" s="49">
        <f t="shared" si="72"/>
        <v>2.6278411050998214</v>
      </c>
      <c r="AX72" s="48">
        <f t="shared" si="88"/>
        <v>-2.4648222299977016</v>
      </c>
      <c r="AY72" s="48">
        <f t="shared" si="89"/>
        <v>-5.6089965072809278</v>
      </c>
      <c r="AZ72" s="50">
        <f t="shared" si="73"/>
        <v>-0.29799276766783489</v>
      </c>
      <c r="BA72" s="48">
        <f t="shared" si="74"/>
        <v>-17.073727912789433</v>
      </c>
      <c r="BB72" s="52">
        <f t="shared" si="90"/>
        <v>8.55688033998835</v>
      </c>
      <c r="BC72" s="44">
        <f t="shared" si="75"/>
        <v>-1.3738263463224063</v>
      </c>
    </row>
    <row r="73" spans="4:55" x14ac:dyDescent="0.3">
      <c r="D73">
        <f t="shared" si="76"/>
        <v>0.71000000000000041</v>
      </c>
      <c r="F73" s="5">
        <f t="shared" si="52"/>
        <v>0.69312807731082127</v>
      </c>
      <c r="G73" s="6">
        <f t="shared" si="53"/>
        <v>39.713313491927494</v>
      </c>
      <c r="I73" s="9">
        <f t="shared" si="54"/>
        <v>0.69630829164386232</v>
      </c>
      <c r="J73" s="9">
        <f t="shared" si="55"/>
        <v>39.895526351157756</v>
      </c>
      <c r="K73" s="9">
        <f t="shared" si="56"/>
        <v>-6.0359012715033646</v>
      </c>
      <c r="L73" s="9">
        <f t="shared" si="57"/>
        <v>-0.1053463505130459</v>
      </c>
      <c r="M73" s="11">
        <f t="shared" si="47"/>
        <v>0.39274618212734169</v>
      </c>
      <c r="O73" s="15">
        <f t="shared" si="58"/>
        <v>0.86379058473645443</v>
      </c>
      <c r="P73" s="15">
        <f t="shared" si="59"/>
        <v>49.491554888536349</v>
      </c>
      <c r="Q73" s="15">
        <v>-6.0359012715033602</v>
      </c>
      <c r="R73" s="15">
        <f t="shared" si="60"/>
        <v>-0.10534635051304582</v>
      </c>
      <c r="S73" s="16">
        <f t="shared" si="48"/>
        <v>1.9762521363151375E-2</v>
      </c>
      <c r="U73" s="23">
        <f t="shared" si="77"/>
        <v>0.85446231851207399</v>
      </c>
      <c r="V73" s="23">
        <f t="shared" si="61"/>
        <v>48.957084603704914</v>
      </c>
      <c r="W73" s="23">
        <f t="shared" si="62"/>
        <v>1.8202307485090774E-2</v>
      </c>
      <c r="X73" s="23">
        <f t="shared" si="78"/>
        <v>3.3889783501957593E-2</v>
      </c>
      <c r="Y73" s="23">
        <f t="shared" si="79"/>
        <v>-1.7639199685748341E-2</v>
      </c>
      <c r="Z73" s="26">
        <f t="shared" si="63"/>
        <v>-0.10409598597566799</v>
      </c>
      <c r="AA73" s="23">
        <f t="shared" si="64"/>
        <v>-5.9642606606587831</v>
      </c>
      <c r="AB73" s="24">
        <f t="shared" si="80"/>
        <v>1.7469905133211672E-2</v>
      </c>
      <c r="AD73" s="33">
        <f t="shared" si="81"/>
        <v>0.87538588994991084</v>
      </c>
      <c r="AE73" s="33">
        <f t="shared" si="65"/>
        <v>50.155916939433439</v>
      </c>
      <c r="AF73" s="33">
        <f t="shared" si="66"/>
        <v>-2.721263952746078E-3</v>
      </c>
      <c r="AG73" s="33">
        <f t="shared" si="82"/>
        <v>5.5481311917737461E-2</v>
      </c>
      <c r="AH73" s="33">
        <f t="shared" si="83"/>
        <v>2.6370785448759371E-3</v>
      </c>
      <c r="AI73" s="35">
        <f t="shared" si="49"/>
        <v>-0.10553328132270715</v>
      </c>
      <c r="AJ73" s="33">
        <f t="shared" si="67"/>
        <v>-6.0466116179579172</v>
      </c>
      <c r="AK73" s="37">
        <f t="shared" si="84"/>
        <v>-2.6117689029747648E-3</v>
      </c>
      <c r="AM73" s="41">
        <f t="shared" si="68"/>
        <v>8.145451237636759E-3</v>
      </c>
      <c r="AN73" s="41">
        <f t="shared" si="69"/>
        <v>0.46669997814619929</v>
      </c>
      <c r="AO73" s="42">
        <f t="shared" si="70"/>
        <v>-8.145451237636759E-3</v>
      </c>
      <c r="AP73" s="41">
        <f t="shared" si="85"/>
        <v>-0.45300027115761643</v>
      </c>
      <c r="AQ73" s="41">
        <f t="shared" si="86"/>
        <v>1.3738263463224063</v>
      </c>
      <c r="AR73" s="43">
        <f t="shared" si="50"/>
        <v>1.2923718339460386</v>
      </c>
      <c r="AS73" s="41">
        <f t="shared" si="51"/>
        <v>74.047451646690064</v>
      </c>
      <c r="AU73" s="48">
        <f t="shared" si="87"/>
        <v>-1.2882575429225227</v>
      </c>
      <c r="AV73" s="48">
        <f t="shared" si="71"/>
        <v>-73.811720135354051</v>
      </c>
      <c r="AW73" s="49">
        <f t="shared" si="72"/>
        <v>2.5806293768685613</v>
      </c>
      <c r="AX73" s="48">
        <f t="shared" si="88"/>
        <v>-2.439015936229016</v>
      </c>
      <c r="AY73" s="48">
        <f t="shared" si="89"/>
        <v>-4.7211728231260075</v>
      </c>
      <c r="AZ73" s="50">
        <f t="shared" si="73"/>
        <v>-0.25962101716346053</v>
      </c>
      <c r="BA73" s="48">
        <f t="shared" si="74"/>
        <v>-14.875188556359797</v>
      </c>
      <c r="BB73" s="52">
        <f t="shared" si="90"/>
        <v>7.6584370800655241</v>
      </c>
      <c r="BC73" s="44">
        <f t="shared" si="75"/>
        <v>-1.2882575429225227</v>
      </c>
    </row>
    <row r="74" spans="4:55" x14ac:dyDescent="0.3">
      <c r="D74">
        <f t="shared" si="76"/>
        <v>0.72000000000000042</v>
      </c>
      <c r="F74" s="5">
        <f t="shared" si="52"/>
        <v>0.69708217030300523</v>
      </c>
      <c r="G74" s="6">
        <f t="shared" si="53"/>
        <v>39.939866332181893</v>
      </c>
      <c r="I74" s="9">
        <f t="shared" si="54"/>
        <v>0.70023575346513578</v>
      </c>
      <c r="J74" s="9">
        <f t="shared" si="55"/>
        <v>40.120553337715492</v>
      </c>
      <c r="K74" s="9">
        <f t="shared" si="56"/>
        <v>-6.0359012715033646</v>
      </c>
      <c r="L74" s="9">
        <f t="shared" si="57"/>
        <v>-0.1053463505130459</v>
      </c>
      <c r="M74" s="11">
        <f t="shared" si="47"/>
        <v>0.38399971072095651</v>
      </c>
      <c r="O74" s="15">
        <f t="shared" si="58"/>
        <v>0.86398820995008596</v>
      </c>
      <c r="P74" s="15">
        <f t="shared" si="59"/>
        <v>49.5028779792028</v>
      </c>
      <c r="Q74" s="15">
        <v>-6.0359012715033602</v>
      </c>
      <c r="R74" s="15">
        <f t="shared" si="60"/>
        <v>-0.10534635051304582</v>
      </c>
      <c r="S74" s="16">
        <f t="shared" si="48"/>
        <v>1.9322409311432587E-2</v>
      </c>
      <c r="U74" s="23">
        <f t="shared" si="77"/>
        <v>0.85463701756340615</v>
      </c>
      <c r="V74" s="23">
        <f t="shared" si="61"/>
        <v>48.967094122031185</v>
      </c>
      <c r="W74" s="23">
        <f t="shared" si="62"/>
        <v>1.8027608433758613E-2</v>
      </c>
      <c r="X74" s="23">
        <f t="shared" si="78"/>
        <v>3.4070059586295179E-2</v>
      </c>
      <c r="Y74" s="23">
        <f t="shared" si="79"/>
        <v>-1.7469905133216113E-2</v>
      </c>
      <c r="Z74" s="26">
        <f t="shared" si="63"/>
        <v>-0.1041079865144415</v>
      </c>
      <c r="AA74" s="23">
        <f t="shared" si="64"/>
        <v>-5.9649482408823884</v>
      </c>
      <c r="AB74" s="24">
        <f t="shared" si="80"/>
        <v>1.7302235408449995E-2</v>
      </c>
      <c r="AD74" s="33">
        <f t="shared" si="81"/>
        <v>0.87535977226088113</v>
      </c>
      <c r="AE74" s="33">
        <f t="shared" si="65"/>
        <v>50.154420506081401</v>
      </c>
      <c r="AF74" s="33">
        <f t="shared" si="66"/>
        <v>-2.6951462637163637E-3</v>
      </c>
      <c r="AG74" s="33">
        <f t="shared" si="82"/>
        <v>5.5454360455100299E-2</v>
      </c>
      <c r="AH74" s="33">
        <f t="shared" si="83"/>
        <v>2.6117689029714342E-3</v>
      </c>
      <c r="AI74" s="35">
        <f t="shared" si="49"/>
        <v>-0.10553148722728273</v>
      </c>
      <c r="AJ74" s="33">
        <f t="shared" si="67"/>
        <v>-6.0465088238620543</v>
      </c>
      <c r="AK74" s="37">
        <f t="shared" si="84"/>
        <v>-2.5867021508221288E-3</v>
      </c>
      <c r="AM74" s="41">
        <f t="shared" si="68"/>
        <v>-4.7371241915884679E-3</v>
      </c>
      <c r="AN74" s="41">
        <f t="shared" si="69"/>
        <v>-0.27141722320734119</v>
      </c>
      <c r="AO74" s="42">
        <f t="shared" si="70"/>
        <v>4.7371241915884679E-3</v>
      </c>
      <c r="AP74" s="41">
        <f t="shared" si="85"/>
        <v>-0.45295289991570054</v>
      </c>
      <c r="AQ74" s="41">
        <f t="shared" si="86"/>
        <v>1.2882575429225227</v>
      </c>
      <c r="AR74" s="43">
        <f t="shared" si="50"/>
        <v>1.3356287848384074</v>
      </c>
      <c r="AS74" s="41">
        <f t="shared" si="51"/>
        <v>76.52589236742746</v>
      </c>
      <c r="AU74" s="48">
        <f t="shared" si="87"/>
        <v>-1.2116731721218674</v>
      </c>
      <c r="AV74" s="48">
        <f t="shared" si="71"/>
        <v>-69.423758911811561</v>
      </c>
      <c r="AW74" s="49">
        <f t="shared" si="72"/>
        <v>2.5473019569602746</v>
      </c>
      <c r="AX74" s="48">
        <f t="shared" si="88"/>
        <v>-2.4135429166594133</v>
      </c>
      <c r="AY74" s="48">
        <f t="shared" si="89"/>
        <v>-3.3327419908286693</v>
      </c>
      <c r="AZ74" s="50">
        <f t="shared" si="73"/>
        <v>-0.25085437064757921</v>
      </c>
      <c r="BA74" s="48">
        <f t="shared" si="74"/>
        <v>-14.372896710516729</v>
      </c>
      <c r="BB74" s="52">
        <f t="shared" si="90"/>
        <v>7.3261565075413042</v>
      </c>
      <c r="BC74" s="44">
        <f t="shared" si="75"/>
        <v>-1.2116731721218674</v>
      </c>
    </row>
    <row r="75" spans="4:55" x14ac:dyDescent="0.3">
      <c r="D75">
        <f t="shared" si="76"/>
        <v>0.73000000000000043</v>
      </c>
      <c r="F75" s="5">
        <f t="shared" si="52"/>
        <v>0.70094917879064012</v>
      </c>
      <c r="G75" s="6">
        <f t="shared" si="53"/>
        <v>40.16142959786464</v>
      </c>
      <c r="I75" s="9">
        <f t="shared" si="54"/>
        <v>0.70407575057234539</v>
      </c>
      <c r="J75" s="9">
        <f t="shared" si="55"/>
        <v>40.340568965301046</v>
      </c>
      <c r="K75" s="9">
        <f t="shared" si="56"/>
        <v>-6.0359012715033646</v>
      </c>
      <c r="L75" s="9">
        <f t="shared" si="57"/>
        <v>-0.1053463505130459</v>
      </c>
      <c r="M75" s="11">
        <f t="shared" si="47"/>
        <v>0.37544802354302242</v>
      </c>
      <c r="O75" s="15">
        <f t="shared" si="58"/>
        <v>0.86418143404320025</v>
      </c>
      <c r="P75" s="15">
        <f t="shared" si="59"/>
        <v>49.513948904238497</v>
      </c>
      <c r="Q75" s="15">
        <v>-6.0359012715033602</v>
      </c>
      <c r="R75" s="15">
        <f t="shared" si="60"/>
        <v>-0.10534635051304582</v>
      </c>
      <c r="S75" s="16">
        <f t="shared" si="48"/>
        <v>1.8892098570715499E-2</v>
      </c>
      <c r="U75" s="23">
        <f t="shared" si="77"/>
        <v>0.8548100399174906</v>
      </c>
      <c r="V75" s="23">
        <f t="shared" si="61"/>
        <v>48.977007572681643</v>
      </c>
      <c r="W75" s="23">
        <f t="shared" si="62"/>
        <v>1.7854586079674162E-2</v>
      </c>
      <c r="X75" s="23">
        <f t="shared" si="78"/>
        <v>3.424860544709192E-2</v>
      </c>
      <c r="Y75" s="23">
        <f t="shared" si="79"/>
        <v>-1.730223540844511E-2</v>
      </c>
      <c r="Z75" s="26">
        <f t="shared" si="63"/>
        <v>-0.10411987187648994</v>
      </c>
      <c r="AA75" s="23">
        <f t="shared" si="64"/>
        <v>-5.9656292219657487</v>
      </c>
      <c r="AB75" s="24">
        <f t="shared" si="80"/>
        <v>1.7136174916649427E-2</v>
      </c>
      <c r="AD75" s="33">
        <f t="shared" si="81"/>
        <v>0.87533390523937293</v>
      </c>
      <c r="AE75" s="33">
        <f t="shared" si="65"/>
        <v>50.152938434920408</v>
      </c>
      <c r="AF75" s="33">
        <f t="shared" si="66"/>
        <v>-2.6692792422081668E-3</v>
      </c>
      <c r="AG75" s="33">
        <f t="shared" si="82"/>
        <v>5.5427667662678218E-2</v>
      </c>
      <c r="AH75" s="33">
        <f t="shared" si="83"/>
        <v>2.5867021508196864E-3</v>
      </c>
      <c r="AI75" s="35">
        <f t="shared" si="49"/>
        <v>-0.1055297103516942</v>
      </c>
      <c r="AJ75" s="33">
        <f t="shared" si="67"/>
        <v>-6.0464070163901118</v>
      </c>
      <c r="AK75" s="37">
        <f t="shared" si="84"/>
        <v>-2.5618759649650436E-3</v>
      </c>
      <c r="AM75" s="41">
        <f t="shared" si="68"/>
        <v>-1.6853855912807143E-2</v>
      </c>
      <c r="AN75" s="41">
        <f t="shared" si="69"/>
        <v>-0.96565481232545691</v>
      </c>
      <c r="AO75" s="42">
        <f t="shared" si="70"/>
        <v>1.6853855912807143E-2</v>
      </c>
      <c r="AP75" s="41">
        <f t="shared" si="85"/>
        <v>-0.45278436135657246</v>
      </c>
      <c r="AQ75" s="41">
        <f t="shared" si="86"/>
        <v>1.2116731721218674</v>
      </c>
      <c r="AR75" s="43">
        <f t="shared" si="50"/>
        <v>1.3802117312499389</v>
      </c>
      <c r="AS75" s="41">
        <f t="shared" si="51"/>
        <v>79.080307035066127</v>
      </c>
      <c r="AU75" s="48">
        <f t="shared" si="87"/>
        <v>-1.1384116070464545</v>
      </c>
      <c r="AV75" s="48">
        <f t="shared" si="71"/>
        <v>-65.226180432467373</v>
      </c>
      <c r="AW75" s="49">
        <f t="shared" si="72"/>
        <v>2.5186233382963934</v>
      </c>
      <c r="AX75" s="48">
        <f t="shared" si="88"/>
        <v>-2.3883566832764496</v>
      </c>
      <c r="AY75" s="48">
        <f t="shared" si="89"/>
        <v>-2.8678618663881217</v>
      </c>
      <c r="AZ75" s="50">
        <f t="shared" si="73"/>
        <v>-0.24619400070794706</v>
      </c>
      <c r="BA75" s="48">
        <f t="shared" si="74"/>
        <v>-14.105877182006168</v>
      </c>
      <c r="BB75" s="52">
        <f t="shared" si="90"/>
        <v>7.0770283374605238</v>
      </c>
      <c r="BC75" s="44">
        <f t="shared" si="75"/>
        <v>-1.1384116070464545</v>
      </c>
    </row>
    <row r="76" spans="4:55" x14ac:dyDescent="0.3">
      <c r="D76">
        <f t="shared" si="76"/>
        <v>0.74000000000000044</v>
      </c>
      <c r="F76" s="5">
        <f t="shared" si="52"/>
        <v>0.70473102071317417</v>
      </c>
      <c r="G76" s="6">
        <f t="shared" si="53"/>
        <v>40.378113178811482</v>
      </c>
      <c r="I76" s="9">
        <f t="shared" si="54"/>
        <v>0.70783023080777563</v>
      </c>
      <c r="J76" s="9">
        <f t="shared" si="55"/>
        <v>40.555684837056482</v>
      </c>
      <c r="K76" s="9">
        <f t="shared" si="56"/>
        <v>-6.0359012715033646</v>
      </c>
      <c r="L76" s="9">
        <f t="shared" si="57"/>
        <v>-0.1053463505130459</v>
      </c>
      <c r="M76" s="11">
        <f t="shared" si="47"/>
        <v>0.36708678274186268</v>
      </c>
      <c r="O76" s="15">
        <f t="shared" si="58"/>
        <v>0.86437035502890736</v>
      </c>
      <c r="P76" s="15">
        <f t="shared" si="59"/>
        <v>49.524773279380966</v>
      </c>
      <c r="Q76" s="15">
        <v>-6.0359012715033602</v>
      </c>
      <c r="R76" s="15">
        <f t="shared" si="60"/>
        <v>-0.10534635051304582</v>
      </c>
      <c r="S76" s="16">
        <f t="shared" si="48"/>
        <v>1.8471370865457803E-2</v>
      </c>
      <c r="U76" s="23">
        <f t="shared" si="77"/>
        <v>0.85498140166665715</v>
      </c>
      <c r="V76" s="23">
        <f t="shared" si="61"/>
        <v>48.986825877678861</v>
      </c>
      <c r="W76" s="23">
        <f t="shared" si="62"/>
        <v>1.7683224330507619E-2</v>
      </c>
      <c r="X76" s="23">
        <f t="shared" si="78"/>
        <v>3.4425437690397E-2</v>
      </c>
      <c r="Y76" s="23">
        <f t="shared" si="79"/>
        <v>-1.7136174916654312E-2</v>
      </c>
      <c r="Z76" s="26">
        <f t="shared" si="63"/>
        <v>-0.10413164316722597</v>
      </c>
      <c r="AA76" s="23">
        <f t="shared" si="64"/>
        <v>-5.9663036672443441</v>
      </c>
      <c r="AB76" s="24">
        <f t="shared" si="80"/>
        <v>1.6971708212763614E-2</v>
      </c>
      <c r="AD76" s="33">
        <f t="shared" si="81"/>
        <v>0.87530828647972325</v>
      </c>
      <c r="AE76" s="33">
        <f t="shared" si="65"/>
        <v>50.151470588116119</v>
      </c>
      <c r="AF76" s="33">
        <f t="shared" si="66"/>
        <v>-2.6436604825584853E-3</v>
      </c>
      <c r="AG76" s="33">
        <f t="shared" si="82"/>
        <v>5.5401231057852635E-2</v>
      </c>
      <c r="AH76" s="33">
        <f t="shared" si="83"/>
        <v>2.5618759649681522E-3</v>
      </c>
      <c r="AI76" s="35">
        <f t="shared" si="49"/>
        <v>-0.10552795053041314</v>
      </c>
      <c r="AJ76" s="33">
        <f t="shared" si="67"/>
        <v>-6.0463061860580103</v>
      </c>
      <c r="AK76" s="37">
        <f t="shared" si="84"/>
        <v>-2.5372880416489885E-3</v>
      </c>
      <c r="AM76" s="41">
        <f t="shared" si="68"/>
        <v>-2.8237971983271687E-2</v>
      </c>
      <c r="AN76" s="41">
        <f t="shared" si="69"/>
        <v>-1.6179166166501304</v>
      </c>
      <c r="AO76" s="42">
        <f t="shared" si="70"/>
        <v>2.8237971983271687E-2</v>
      </c>
      <c r="AP76" s="41">
        <f t="shared" si="85"/>
        <v>-0.45250198163673977</v>
      </c>
      <c r="AQ76" s="41">
        <f t="shared" si="86"/>
        <v>1.1384116070464543</v>
      </c>
      <c r="AR76" s="43">
        <f t="shared" si="50"/>
        <v>1.4207913268791712</v>
      </c>
      <c r="AS76" s="41">
        <f t="shared" si="51"/>
        <v>81.405346598968663</v>
      </c>
      <c r="AU76" s="48">
        <f t="shared" si="87"/>
        <v>-1.0676413236718492</v>
      </c>
      <c r="AV76" s="48">
        <f t="shared" si="71"/>
        <v>-61.171341880157627</v>
      </c>
      <c r="AW76" s="49">
        <f t="shared" si="72"/>
        <v>2.4884326505510206</v>
      </c>
      <c r="AX76" s="48">
        <f t="shared" si="88"/>
        <v>-2.3634723567709393</v>
      </c>
      <c r="AY76" s="48">
        <f t="shared" si="89"/>
        <v>-3.0190687745372813</v>
      </c>
      <c r="AZ76" s="50">
        <f t="shared" si="73"/>
        <v>-0.23482524368747626</v>
      </c>
      <c r="BA76" s="48">
        <f t="shared" si="74"/>
        <v>-13.454495386423467</v>
      </c>
      <c r="BB76" s="52">
        <f t="shared" si="90"/>
        <v>6.7096920794140456</v>
      </c>
      <c r="BC76" s="44">
        <f t="shared" si="75"/>
        <v>-1.0676413236718492</v>
      </c>
    </row>
    <row r="77" spans="4:55" x14ac:dyDescent="0.3">
      <c r="D77">
        <f t="shared" si="76"/>
        <v>0.75000000000000044</v>
      </c>
      <c r="F77" s="5">
        <f t="shared" si="52"/>
        <v>0.70842957176957055</v>
      </c>
      <c r="G77" s="6">
        <f t="shared" si="53"/>
        <v>40.590024544656643</v>
      </c>
      <c r="I77" s="9">
        <f t="shared" si="54"/>
        <v>0.71150109863519428</v>
      </c>
      <c r="J77" s="9">
        <f t="shared" si="55"/>
        <v>40.766010070717932</v>
      </c>
      <c r="K77" s="9">
        <f t="shared" si="56"/>
        <v>-6.0359012715033646</v>
      </c>
      <c r="L77" s="9">
        <f t="shared" si="57"/>
        <v>-0.1053463505130459</v>
      </c>
      <c r="M77" s="11">
        <f t="shared" si="47"/>
        <v>0.35891174706991169</v>
      </c>
      <c r="O77" s="15">
        <f t="shared" si="58"/>
        <v>0.86455506873756194</v>
      </c>
      <c r="P77" s="15">
        <f t="shared" si="59"/>
        <v>49.535356595305082</v>
      </c>
      <c r="Q77" s="15">
        <v>-6.0359012715033602</v>
      </c>
      <c r="R77" s="15">
        <f t="shared" si="60"/>
        <v>-0.10534635051304582</v>
      </c>
      <c r="S77" s="16">
        <f t="shared" si="48"/>
        <v>1.8060012781118351E-2</v>
      </c>
      <c r="U77" s="23">
        <f t="shared" si="77"/>
        <v>0.8551511187487848</v>
      </c>
      <c r="V77" s="23">
        <f t="shared" si="61"/>
        <v>48.996549950196055</v>
      </c>
      <c r="W77" s="23">
        <f t="shared" si="62"/>
        <v>1.7513507248379967E-2</v>
      </c>
      <c r="X77" s="23">
        <f t="shared" si="78"/>
        <v>3.4600572762880796E-2</v>
      </c>
      <c r="Y77" s="23">
        <f t="shared" si="79"/>
        <v>-1.6971708212765169E-2</v>
      </c>
      <c r="Z77" s="26">
        <f t="shared" si="63"/>
        <v>-0.1041433014814577</v>
      </c>
      <c r="AA77" s="23">
        <f t="shared" si="64"/>
        <v>-5.9669716394460597</v>
      </c>
      <c r="AB77" s="24">
        <f t="shared" si="80"/>
        <v>1.6808820000076219E-2</v>
      </c>
      <c r="AD77" s="33">
        <f t="shared" si="81"/>
        <v>0.87528291359930677</v>
      </c>
      <c r="AE77" s="33">
        <f t="shared" si="65"/>
        <v>50.150016829154168</v>
      </c>
      <c r="AF77" s="33">
        <f t="shared" si="66"/>
        <v>-2.6182876021419998E-3</v>
      </c>
      <c r="AG77" s="33">
        <f t="shared" si="82"/>
        <v>5.5375048181831213E-2</v>
      </c>
      <c r="AH77" s="33">
        <f t="shared" si="83"/>
        <v>2.5372880416485444E-3</v>
      </c>
      <c r="AI77" s="35">
        <f t="shared" si="49"/>
        <v>-0.10552620759958667</v>
      </c>
      <c r="AJ77" s="33">
        <f t="shared" si="67"/>
        <v>-6.0462063234776702</v>
      </c>
      <c r="AK77" s="37">
        <f t="shared" si="84"/>
        <v>-2.5129360975126858E-3</v>
      </c>
      <c r="AM77" s="41">
        <f t="shared" si="68"/>
        <v>-3.8914385219990175E-2</v>
      </c>
      <c r="AN77" s="41">
        <f t="shared" si="69"/>
        <v>-2.2296300354517067</v>
      </c>
      <c r="AO77" s="42">
        <f t="shared" si="70"/>
        <v>3.8914385219990175E-2</v>
      </c>
      <c r="AP77" s="41">
        <f t="shared" si="85"/>
        <v>-0.45211283778453987</v>
      </c>
      <c r="AQ77" s="41">
        <f t="shared" si="86"/>
        <v>1.0676413236718487</v>
      </c>
      <c r="AR77" s="43">
        <f t="shared" si="50"/>
        <v>1.4567851758717505</v>
      </c>
      <c r="AS77" s="41">
        <f t="shared" si="51"/>
        <v>83.46764223467467</v>
      </c>
      <c r="AU77" s="48">
        <f t="shared" si="87"/>
        <v>-1.0005444028777086</v>
      </c>
      <c r="AV77" s="48">
        <f t="shared" si="71"/>
        <v>-57.326971500329805</v>
      </c>
      <c r="AW77" s="49">
        <f t="shared" si="72"/>
        <v>2.4573295787494591</v>
      </c>
      <c r="AX77" s="48">
        <f t="shared" si="88"/>
        <v>-2.3388990609834446</v>
      </c>
      <c r="AY77" s="48">
        <f t="shared" si="89"/>
        <v>-3.1103071801561466</v>
      </c>
      <c r="AZ77" s="50">
        <f t="shared" si="73"/>
        <v>-0.22130949963124835</v>
      </c>
      <c r="BA77" s="48">
        <f t="shared" si="74"/>
        <v>-12.68010029502258</v>
      </c>
      <c r="BB77" s="52">
        <f t="shared" si="90"/>
        <v>6.3109288420238574</v>
      </c>
      <c r="BC77" s="44">
        <f t="shared" si="75"/>
        <v>-1.0005444028777086</v>
      </c>
    </row>
    <row r="78" spans="4:55" x14ac:dyDescent="0.3">
      <c r="D78">
        <f t="shared" si="76"/>
        <v>0.76000000000000045</v>
      </c>
      <c r="F78" s="5">
        <f t="shared" si="52"/>
        <v>0.71204666634860714</v>
      </c>
      <c r="G78" s="6">
        <f t="shared" si="53"/>
        <v>40.797268798135086</v>
      </c>
      <c r="I78" s="9">
        <f t="shared" si="54"/>
        <v>0.71509021610589341</v>
      </c>
      <c r="J78" s="9">
        <f t="shared" si="55"/>
        <v>40.971651353965662</v>
      </c>
      <c r="K78" s="9">
        <f t="shared" si="56"/>
        <v>-6.0359012715033646</v>
      </c>
      <c r="L78" s="9">
        <f t="shared" si="57"/>
        <v>-0.1053463505130459</v>
      </c>
      <c r="M78" s="11">
        <f t="shared" si="47"/>
        <v>0.35091876973233749</v>
      </c>
      <c r="O78" s="15">
        <f t="shared" si="58"/>
        <v>0.86473566886537312</v>
      </c>
      <c r="P78" s="15">
        <f t="shared" si="59"/>
        <v>49.545704220408183</v>
      </c>
      <c r="Q78" s="15">
        <v>-6.0359012715033602</v>
      </c>
      <c r="R78" s="15">
        <f t="shared" si="60"/>
        <v>-0.10534635051304582</v>
      </c>
      <c r="S78" s="16">
        <f t="shared" si="48"/>
        <v>1.7657815655907738E-2</v>
      </c>
      <c r="U78" s="23">
        <f t="shared" si="77"/>
        <v>0.8553192069487856</v>
      </c>
      <c r="V78" s="23">
        <f t="shared" si="61"/>
        <v>49.006180694642048</v>
      </c>
      <c r="W78" s="23">
        <f t="shared" si="62"/>
        <v>1.7345419048379163E-2</v>
      </c>
      <c r="X78" s="23">
        <f t="shared" si="78"/>
        <v>3.4774026953364588E-2</v>
      </c>
      <c r="Y78" s="23">
        <f t="shared" si="79"/>
        <v>-1.6808820000080438E-2</v>
      </c>
      <c r="Z78" s="26">
        <f t="shared" si="63"/>
        <v>-0.1041548479034871</v>
      </c>
      <c r="AA78" s="23">
        <f t="shared" si="64"/>
        <v>-5.9676332006968211</v>
      </c>
      <c r="AB78" s="24">
        <f t="shared" si="80"/>
        <v>1.6647495128711221E-2</v>
      </c>
      <c r="AD78" s="33">
        <f t="shared" si="81"/>
        <v>0.87525778423833167</v>
      </c>
      <c r="AE78" s="33">
        <f t="shared" si="65"/>
        <v>50.148577022828434</v>
      </c>
      <c r="AF78" s="33">
        <f t="shared" si="66"/>
        <v>-2.5931582411669041E-3</v>
      </c>
      <c r="AG78" s="33">
        <f t="shared" si="82"/>
        <v>5.5349116599419546E-2</v>
      </c>
      <c r="AH78" s="33">
        <f t="shared" si="83"/>
        <v>2.5129360975095771E-3</v>
      </c>
      <c r="AI78" s="35">
        <f t="shared" si="49"/>
        <v>-0.10552448139699283</v>
      </c>
      <c r="AJ78" s="33">
        <f t="shared" si="67"/>
        <v>-6.0461074193544588</v>
      </c>
      <c r="AK78" s="37">
        <f t="shared" si="84"/>
        <v>-2.4888178699586927E-3</v>
      </c>
      <c r="AM78" s="41">
        <f t="shared" si="68"/>
        <v>-4.8919829248767262E-2</v>
      </c>
      <c r="AN78" s="41">
        <f t="shared" si="69"/>
        <v>-2.8028997504550048</v>
      </c>
      <c r="AO78" s="42">
        <f t="shared" si="70"/>
        <v>4.8919829248767262E-2</v>
      </c>
      <c r="AP78" s="41">
        <f t="shared" si="85"/>
        <v>-0.4516236394920522</v>
      </c>
      <c r="AQ78" s="41">
        <f t="shared" si="86"/>
        <v>1.0005444028777086</v>
      </c>
      <c r="AR78" s="43">
        <f t="shared" si="50"/>
        <v>1.4897426953653812</v>
      </c>
      <c r="AS78" s="41">
        <f t="shared" si="51"/>
        <v>85.355969004879853</v>
      </c>
      <c r="AU78" s="48">
        <f t="shared" si="87"/>
        <v>-0.93743511445747008</v>
      </c>
      <c r="AV78" s="48">
        <f t="shared" si="71"/>
        <v>-53.711075625776296</v>
      </c>
      <c r="AW78" s="49">
        <f t="shared" si="72"/>
        <v>2.4271778098228514</v>
      </c>
      <c r="AX78" s="48">
        <f t="shared" si="88"/>
        <v>-2.3146272828852159</v>
      </c>
      <c r="AY78" s="48">
        <f t="shared" si="89"/>
        <v>-3.0151768926607758</v>
      </c>
      <c r="AZ78" s="50">
        <f t="shared" si="73"/>
        <v>-0.21002516941196703</v>
      </c>
      <c r="BA78" s="48">
        <f t="shared" si="74"/>
        <v>-12.033555798825825</v>
      </c>
      <c r="BB78" s="52">
        <f t="shared" si="90"/>
        <v>5.9622111507333413</v>
      </c>
      <c r="BC78" s="44">
        <f t="shared" si="75"/>
        <v>-0.93743511445747008</v>
      </c>
    </row>
    <row r="79" spans="4:55" x14ac:dyDescent="0.3">
      <c r="D79">
        <f t="shared" si="76"/>
        <v>0.77000000000000046</v>
      </c>
      <c r="F79" s="5">
        <f t="shared" si="52"/>
        <v>0.71558409843868709</v>
      </c>
      <c r="G79" s="6">
        <f t="shared" si="53"/>
        <v>40.999948727210814</v>
      </c>
      <c r="I79" s="9">
        <f t="shared" si="54"/>
        <v>0.71859940380321674</v>
      </c>
      <c r="J79" s="9">
        <f t="shared" si="55"/>
        <v>41.17271299854152</v>
      </c>
      <c r="K79" s="9">
        <f t="shared" si="56"/>
        <v>-6.0359012715033646</v>
      </c>
      <c r="L79" s="9">
        <f t="shared" si="57"/>
        <v>-0.1053463505130459</v>
      </c>
      <c r="M79" s="11">
        <f t="shared" si="47"/>
        <v>0.3431037962835759</v>
      </c>
      <c r="O79" s="15">
        <f t="shared" si="58"/>
        <v>0.86491224702193215</v>
      </c>
      <c r="P79" s="15">
        <f t="shared" si="59"/>
        <v>49.555821403533216</v>
      </c>
      <c r="Q79" s="15">
        <v>-6.0359012715033602</v>
      </c>
      <c r="R79" s="15">
        <f t="shared" si="60"/>
        <v>-0.10534635051304582</v>
      </c>
      <c r="S79" s="16">
        <f t="shared" si="48"/>
        <v>1.7264575474941424E-2</v>
      </c>
      <c r="U79" s="23">
        <f t="shared" si="77"/>
        <v>0.85548568190007268</v>
      </c>
      <c r="V79" s="23">
        <f t="shared" si="61"/>
        <v>49.015719006745442</v>
      </c>
      <c r="W79" s="23">
        <f t="shared" si="62"/>
        <v>1.7178944097092086E-2</v>
      </c>
      <c r="X79" s="23">
        <f t="shared" si="78"/>
        <v>3.4945816394335506E-2</v>
      </c>
      <c r="Y79" s="23">
        <f t="shared" si="79"/>
        <v>-1.6647495128707668E-2</v>
      </c>
      <c r="Z79" s="26">
        <f t="shared" si="63"/>
        <v>-0.10416628350721165</v>
      </c>
      <c r="AA79" s="23">
        <f t="shared" si="64"/>
        <v>-5.9682884125264222</v>
      </c>
      <c r="AB79" s="24">
        <f t="shared" si="80"/>
        <v>1.6487718594240031E-2</v>
      </c>
      <c r="AD79" s="33">
        <f t="shared" si="81"/>
        <v>0.87523289605963206</v>
      </c>
      <c r="AE79" s="33">
        <f t="shared" si="65"/>
        <v>50.147151035229179</v>
      </c>
      <c r="AF79" s="33">
        <f t="shared" si="66"/>
        <v>-2.5682700624672927E-3</v>
      </c>
      <c r="AG79" s="33">
        <f t="shared" si="82"/>
        <v>5.532343389879487E-2</v>
      </c>
      <c r="AH79" s="33">
        <f t="shared" si="83"/>
        <v>2.4888178699611352E-3</v>
      </c>
      <c r="AI79" s="35">
        <f t="shared" si="49"/>
        <v>-0.10552277176200496</v>
      </c>
      <c r="AJ79" s="33">
        <f t="shared" si="67"/>
        <v>-6.0460094644851461</v>
      </c>
      <c r="AK79" s="37">
        <f t="shared" si="84"/>
        <v>-2.4649311173479127E-3</v>
      </c>
      <c r="AM79" s="41">
        <f t="shared" si="68"/>
        <v>-5.8294180393341964E-2</v>
      </c>
      <c r="AN79" s="41">
        <f t="shared" si="69"/>
        <v>-3.3400105067127677</v>
      </c>
      <c r="AO79" s="42">
        <f t="shared" si="70"/>
        <v>5.8294180393341964E-2</v>
      </c>
      <c r="AP79" s="41">
        <f t="shared" si="85"/>
        <v>-0.45104069768811877</v>
      </c>
      <c r="AQ79" s="41">
        <f t="shared" si="86"/>
        <v>0.93743511445747019</v>
      </c>
      <c r="AR79" s="43">
        <f t="shared" si="50"/>
        <v>1.5203769183908897</v>
      </c>
      <c r="AS79" s="41">
        <f t="shared" si="51"/>
        <v>87.111180692903972</v>
      </c>
      <c r="AU79" s="48">
        <f t="shared" si="87"/>
        <v>-0.87781300295013664</v>
      </c>
      <c r="AV79" s="48">
        <f t="shared" si="71"/>
        <v>-50.294980270747715</v>
      </c>
      <c r="AW79" s="49">
        <f t="shared" si="72"/>
        <v>2.3981899213410265</v>
      </c>
      <c r="AX79" s="48">
        <f t="shared" si="88"/>
        <v>-2.2906453836718055</v>
      </c>
      <c r="AY79" s="48">
        <f t="shared" si="89"/>
        <v>-2.8987888481824875</v>
      </c>
      <c r="AZ79" s="50">
        <f t="shared" si="73"/>
        <v>-0.20059513109752958</v>
      </c>
      <c r="BA79" s="48">
        <f t="shared" si="74"/>
        <v>-11.493254402761899</v>
      </c>
      <c r="BB79" s="52">
        <f t="shared" si="90"/>
        <v>5.6554673521316454</v>
      </c>
      <c r="BC79" s="44">
        <f t="shared" si="75"/>
        <v>-0.87781300295013664</v>
      </c>
    </row>
    <row r="80" spans="4:55" x14ac:dyDescent="0.3">
      <c r="D80">
        <f t="shared" si="76"/>
        <v>0.78000000000000047</v>
      </c>
      <c r="F80" s="5">
        <f t="shared" si="52"/>
        <v>0.71904362251761245</v>
      </c>
      <c r="G80" s="6">
        <f t="shared" si="53"/>
        <v>41.198164856057119</v>
      </c>
      <c r="I80" s="9">
        <f t="shared" si="54"/>
        <v>0.72203044176605247</v>
      </c>
      <c r="J80" s="9">
        <f t="shared" si="55"/>
        <v>41.369296993161171</v>
      </c>
      <c r="K80" s="9">
        <f t="shared" si="56"/>
        <v>-6.0359012715033646</v>
      </c>
      <c r="L80" s="9">
        <f t="shared" si="57"/>
        <v>-0.1053463505130459</v>
      </c>
      <c r="M80" s="11">
        <f t="shared" si="47"/>
        <v>0.33546286257070923</v>
      </c>
      <c r="O80" s="15">
        <f t="shared" si="58"/>
        <v>0.86508489277668155</v>
      </c>
      <c r="P80" s="15">
        <f t="shared" si="59"/>
        <v>49.565713276631207</v>
      </c>
      <c r="Q80" s="15">
        <v>-6.0359012715033602</v>
      </c>
      <c r="R80" s="15">
        <f t="shared" si="60"/>
        <v>-0.10534635051304582</v>
      </c>
      <c r="S80" s="16">
        <f t="shared" si="48"/>
        <v>1.6880092766753174E-2</v>
      </c>
      <c r="U80" s="23">
        <f t="shared" si="77"/>
        <v>0.85565055908601506</v>
      </c>
      <c r="V80" s="23">
        <f t="shared" si="61"/>
        <v>49.025165773637937</v>
      </c>
      <c r="W80" s="23">
        <f t="shared" si="62"/>
        <v>1.7014066911149706E-2</v>
      </c>
      <c r="X80" s="23">
        <f t="shared" si="78"/>
        <v>3.5115957063447001E-2</v>
      </c>
      <c r="Y80" s="23">
        <f t="shared" si="79"/>
        <v>-1.6487718594238032E-2</v>
      </c>
      <c r="Z80" s="26">
        <f t="shared" si="63"/>
        <v>-0.10417760935622222</v>
      </c>
      <c r="AA80" s="23">
        <f t="shared" si="64"/>
        <v>-5.9689373358741307</v>
      </c>
      <c r="AB80" s="24">
        <f t="shared" si="80"/>
        <v>1.6329475536246418E-2</v>
      </c>
      <c r="AD80" s="33">
        <f t="shared" si="81"/>
        <v>0.87520824674845854</v>
      </c>
      <c r="AE80" s="33">
        <f t="shared" si="65"/>
        <v>50.145738733731029</v>
      </c>
      <c r="AF80" s="33">
        <f t="shared" si="66"/>
        <v>-2.5436207512937736E-3</v>
      </c>
      <c r="AG80" s="33">
        <f t="shared" si="82"/>
        <v>5.5297997691281929E-2</v>
      </c>
      <c r="AH80" s="33">
        <f t="shared" si="83"/>
        <v>2.4649311173519095E-3</v>
      </c>
      <c r="AI80" s="35">
        <f t="shared" si="49"/>
        <v>-0.10552107853556307</v>
      </c>
      <c r="AJ80" s="33">
        <f t="shared" si="67"/>
        <v>-6.0459124497562655</v>
      </c>
      <c r="AK80" s="37">
        <f t="shared" si="84"/>
        <v>-2.4412736190608797E-3</v>
      </c>
      <c r="AM80" s="41">
        <f t="shared" si="68"/>
        <v>-6.7072310422843326E-2</v>
      </c>
      <c r="AN80" s="41">
        <f t="shared" si="69"/>
        <v>-3.8429603094202447</v>
      </c>
      <c r="AO80" s="42">
        <f t="shared" si="70"/>
        <v>6.7072310422843326E-2</v>
      </c>
      <c r="AP80" s="41">
        <f t="shared" si="85"/>
        <v>-0.45036997458389033</v>
      </c>
      <c r="AQ80" s="41">
        <f t="shared" si="86"/>
        <v>0.8778130029501362</v>
      </c>
      <c r="AR80" s="43">
        <f t="shared" si="50"/>
        <v>1.5485361071785695</v>
      </c>
      <c r="AS80" s="41">
        <f t="shared" si="51"/>
        <v>88.724583364950135</v>
      </c>
      <c r="AU80" s="48">
        <f t="shared" si="87"/>
        <v>-0.82125832942882016</v>
      </c>
      <c r="AV80" s="48">
        <f t="shared" si="71"/>
        <v>-47.054636166236008</v>
      </c>
      <c r="AW80" s="49">
        <f t="shared" si="72"/>
        <v>2.3697944366073895</v>
      </c>
      <c r="AX80" s="48">
        <f t="shared" si="88"/>
        <v>-2.2669474393057314</v>
      </c>
      <c r="AY80" s="48">
        <f t="shared" si="89"/>
        <v>-2.8395484733636955</v>
      </c>
      <c r="AZ80" s="50">
        <f t="shared" si="73"/>
        <v>-0.1914962522364978</v>
      </c>
      <c r="BA80" s="48">
        <f t="shared" si="74"/>
        <v>-10.971927045723975</v>
      </c>
      <c r="BB80" s="52">
        <f t="shared" si="90"/>
        <v>5.3616639713065926</v>
      </c>
      <c r="BC80" s="44">
        <f t="shared" si="75"/>
        <v>-0.82125832942882016</v>
      </c>
    </row>
    <row r="81" spans="4:55" x14ac:dyDescent="0.3">
      <c r="D81">
        <f t="shared" si="76"/>
        <v>0.79000000000000048</v>
      </c>
      <c r="F81" s="5">
        <f t="shared" si="52"/>
        <v>0.72242695442276106</v>
      </c>
      <c r="G81" s="6">
        <f t="shared" si="53"/>
        <v>41.392015494914091</v>
      </c>
      <c r="I81" s="9">
        <f t="shared" si="54"/>
        <v>0.72538507039175959</v>
      </c>
      <c r="J81" s="9">
        <f t="shared" si="55"/>
        <v>41.561503055247961</v>
      </c>
      <c r="K81" s="9">
        <f t="shared" si="56"/>
        <v>-6.0359012715033646</v>
      </c>
      <c r="L81" s="9">
        <f t="shared" si="57"/>
        <v>-0.1053463505130459</v>
      </c>
      <c r="M81" s="11">
        <f t="shared" si="47"/>
        <v>0.32799209272264651</v>
      </c>
      <c r="O81" s="15">
        <f t="shared" si="58"/>
        <v>0.86525369370434912</v>
      </c>
      <c r="P81" s="15">
        <f t="shared" si="59"/>
        <v>49.575384857364455</v>
      </c>
      <c r="Q81" s="15">
        <v>-6.0359012715033602</v>
      </c>
      <c r="R81" s="15">
        <f t="shared" si="60"/>
        <v>-0.10534635051304582</v>
      </c>
      <c r="S81" s="16">
        <f t="shared" si="48"/>
        <v>1.6504172502113335E-2</v>
      </c>
      <c r="U81" s="23">
        <f t="shared" si="77"/>
        <v>0.85581385384137754</v>
      </c>
      <c r="V81" s="23">
        <f t="shared" si="61"/>
        <v>49.034521873936825</v>
      </c>
      <c r="W81" s="23">
        <f t="shared" si="62"/>
        <v>1.685077215578723E-2</v>
      </c>
      <c r="X81" s="23">
        <f t="shared" si="78"/>
        <v>3.5284464785004875E-2</v>
      </c>
      <c r="Y81" s="23">
        <f t="shared" si="79"/>
        <v>-1.6329475536247529E-2</v>
      </c>
      <c r="Z81" s="26">
        <f t="shared" si="63"/>
        <v>-0.10418882650390297</v>
      </c>
      <c r="AA81" s="23">
        <f t="shared" si="64"/>
        <v>-5.9695800310944129</v>
      </c>
      <c r="AB81" s="24">
        <f t="shared" si="80"/>
        <v>1.6172751236963601E-2</v>
      </c>
      <c r="AD81" s="33">
        <f t="shared" si="81"/>
        <v>0.87518383401226796</v>
      </c>
      <c r="AE81" s="33">
        <f t="shared" si="65"/>
        <v>50.144339986980945</v>
      </c>
      <c r="AF81" s="33">
        <f t="shared" si="66"/>
        <v>-2.5192080151031915E-3</v>
      </c>
      <c r="AG81" s="33">
        <f t="shared" si="82"/>
        <v>5.5272805611130897E-2</v>
      </c>
      <c r="AH81" s="33">
        <f t="shared" si="83"/>
        <v>2.4412736190582152E-3</v>
      </c>
      <c r="AI81" s="35">
        <f t="shared" si="49"/>
        <v>-0.1055194015601507</v>
      </c>
      <c r="AJ81" s="33">
        <f t="shared" si="67"/>
        <v>-6.0458163661427893</v>
      </c>
      <c r="AK81" s="37">
        <f t="shared" si="84"/>
        <v>-2.4178431754546814E-3</v>
      </c>
      <c r="AM81" s="41">
        <f t="shared" si="68"/>
        <v>-7.5284893717131526E-2</v>
      </c>
      <c r="AN81" s="41">
        <f t="shared" si="69"/>
        <v>-4.3135066710826049</v>
      </c>
      <c r="AO81" s="42">
        <f t="shared" si="70"/>
        <v>7.5284893717131526E-2</v>
      </c>
      <c r="AP81" s="41">
        <f t="shared" si="85"/>
        <v>-0.44961712564671902</v>
      </c>
      <c r="AQ81" s="41">
        <f t="shared" si="86"/>
        <v>0.82125832942882004</v>
      </c>
      <c r="AR81" s="43">
        <f t="shared" si="50"/>
        <v>1.5741072666001354</v>
      </c>
      <c r="AS81" s="41">
        <f t="shared" si="51"/>
        <v>90.189702877062061</v>
      </c>
      <c r="AU81" s="48">
        <f t="shared" si="87"/>
        <v>-0.76764168971575419</v>
      </c>
      <c r="AV81" s="48">
        <f t="shared" si="71"/>
        <v>-43.982628999003808</v>
      </c>
      <c r="AW81" s="49">
        <f t="shared" si="72"/>
        <v>2.3417489563158895</v>
      </c>
      <c r="AX81" s="48">
        <f t="shared" si="88"/>
        <v>-2.2435299497425727</v>
      </c>
      <c r="AY81" s="48">
        <f t="shared" si="89"/>
        <v>-2.8045480291500002</v>
      </c>
      <c r="AZ81" s="50">
        <f t="shared" si="73"/>
        <v>-0.18241527300088367</v>
      </c>
      <c r="BA81" s="48">
        <f t="shared" si="74"/>
        <v>-10.45162526167735</v>
      </c>
      <c r="BB81" s="52">
        <f t="shared" si="90"/>
        <v>5.0747338140997282</v>
      </c>
      <c r="BC81" s="44">
        <f t="shared" si="75"/>
        <v>-0.76764168971575419</v>
      </c>
    </row>
    <row r="82" spans="4:55" x14ac:dyDescent="0.3">
      <c r="D82">
        <f t="shared" si="76"/>
        <v>0.80000000000000049</v>
      </c>
      <c r="F82" s="5">
        <f t="shared" si="52"/>
        <v>0.72573577220209939</v>
      </c>
      <c r="G82" s="6">
        <f t="shared" si="53"/>
        <v>41.581596788848024</v>
      </c>
      <c r="I82" s="9">
        <f t="shared" si="54"/>
        <v>0.7286649913189861</v>
      </c>
      <c r="J82" s="9">
        <f t="shared" si="55"/>
        <v>41.749428681514672</v>
      </c>
      <c r="K82" s="9">
        <f t="shared" si="56"/>
        <v>-6.0359012715033646</v>
      </c>
      <c r="L82" s="9">
        <f t="shared" si="57"/>
        <v>-0.1053463505130459</v>
      </c>
      <c r="M82" s="11">
        <f t="shared" si="47"/>
        <v>0.32068769718408241</v>
      </c>
      <c r="O82" s="15">
        <f t="shared" si="58"/>
        <v>0.86541873542937031</v>
      </c>
      <c r="P82" s="15">
        <f t="shared" si="59"/>
        <v>49.584841051651729</v>
      </c>
      <c r="Q82" s="15">
        <v>-6.0359012715033602</v>
      </c>
      <c r="R82" s="15">
        <f t="shared" si="60"/>
        <v>-0.10534635051304582</v>
      </c>
      <c r="S82" s="16">
        <f t="shared" si="48"/>
        <v>1.6136623995100852E-2</v>
      </c>
      <c r="U82" s="23">
        <f t="shared" si="77"/>
        <v>0.85597558135374718</v>
      </c>
      <c r="V82" s="23">
        <f t="shared" si="61"/>
        <v>49.043788177826762</v>
      </c>
      <c r="W82" s="23">
        <f t="shared" si="62"/>
        <v>1.6689044643417583E-2</v>
      </c>
      <c r="X82" s="23">
        <f t="shared" si="78"/>
        <v>3.5451355231439052E-2</v>
      </c>
      <c r="Y82" s="23">
        <f t="shared" si="79"/>
        <v>-1.6172751236964711E-2</v>
      </c>
      <c r="Z82" s="26">
        <f t="shared" si="63"/>
        <v>-0.10419993599352845</v>
      </c>
      <c r="AA82" s="23">
        <f t="shared" si="64"/>
        <v>-5.9702165579624964</v>
      </c>
      <c r="AB82" s="24">
        <f t="shared" si="80"/>
        <v>1.6017531119887352E-2</v>
      </c>
      <c r="AD82" s="33">
        <f t="shared" si="81"/>
        <v>0.87515965558051345</v>
      </c>
      <c r="AE82" s="33">
        <f t="shared" si="65"/>
        <v>50.142954664886162</v>
      </c>
      <c r="AF82" s="33">
        <f t="shared" si="66"/>
        <v>-2.4950295833486846E-3</v>
      </c>
      <c r="AG82" s="33">
        <f t="shared" si="82"/>
        <v>5.5247855315297412E-2</v>
      </c>
      <c r="AH82" s="33">
        <f t="shared" si="83"/>
        <v>2.4178431754506846E-3</v>
      </c>
      <c r="AI82" s="35">
        <f t="shared" si="49"/>
        <v>-0.10551774067977471</v>
      </c>
      <c r="AJ82" s="33">
        <f t="shared" si="67"/>
        <v>-6.0457212047069691</v>
      </c>
      <c r="AK82" s="37">
        <f t="shared" si="84"/>
        <v>-2.3946376077725873E-3</v>
      </c>
      <c r="AM82" s="41">
        <f t="shared" si="68"/>
        <v>-8.2961310614289074E-2</v>
      </c>
      <c r="AN82" s="41">
        <f t="shared" si="69"/>
        <v>-4.7533329610726431</v>
      </c>
      <c r="AO82" s="42">
        <f t="shared" si="70"/>
        <v>8.2961310614289074E-2</v>
      </c>
      <c r="AP82" s="41">
        <f t="shared" si="85"/>
        <v>-0.44878751254057614</v>
      </c>
      <c r="AQ82" s="41">
        <f t="shared" si="86"/>
        <v>0.76764168971575475</v>
      </c>
      <c r="AR82" s="43">
        <f t="shared" si="50"/>
        <v>1.5972547958586456</v>
      </c>
      <c r="AS82" s="41">
        <f t="shared" si="51"/>
        <v>91.515958609730276</v>
      </c>
      <c r="AU82" s="48">
        <f t="shared" si="87"/>
        <v>-0.71689435157475689</v>
      </c>
      <c r="AV82" s="48">
        <f t="shared" si="71"/>
        <v>-41.075020702001389</v>
      </c>
      <c r="AW82" s="49">
        <f t="shared" si="72"/>
        <v>2.3141491474334024</v>
      </c>
      <c r="AX82" s="48">
        <f t="shared" si="88"/>
        <v>-2.2203884582682387</v>
      </c>
      <c r="AY82" s="48">
        <f t="shared" si="89"/>
        <v>-2.7599808882487142</v>
      </c>
      <c r="AZ82" s="50">
        <f t="shared" si="73"/>
        <v>-0.17372147388908377</v>
      </c>
      <c r="BA82" s="48">
        <f t="shared" si="74"/>
        <v>-9.9535072646366309</v>
      </c>
      <c r="BB82" s="52">
        <f t="shared" si="90"/>
        <v>4.8013362923004044</v>
      </c>
      <c r="BC82" s="44">
        <f t="shared" si="75"/>
        <v>-0.71689435157475689</v>
      </c>
    </row>
    <row r="83" spans="4:55" x14ac:dyDescent="0.3">
      <c r="D83">
        <f t="shared" si="76"/>
        <v>0.8100000000000005</v>
      </c>
      <c r="F83" s="5">
        <f t="shared" si="52"/>
        <v>0.72897171694645158</v>
      </c>
      <c r="G83" s="6">
        <f t="shared" si="53"/>
        <v>41.767002765436949</v>
      </c>
      <c r="I83" s="9">
        <f t="shared" si="54"/>
        <v>0.73187186829082695</v>
      </c>
      <c r="J83" s="9">
        <f t="shared" si="55"/>
        <v>41.933169197418849</v>
      </c>
      <c r="K83" s="9">
        <f t="shared" si="56"/>
        <v>-6.0359012715033646</v>
      </c>
      <c r="L83" s="9">
        <f t="shared" si="57"/>
        <v>-0.1053463505130459</v>
      </c>
      <c r="M83" s="11">
        <f t="shared" si="47"/>
        <v>0.31354597079324331</v>
      </c>
      <c r="O83" s="15">
        <f t="shared" si="58"/>
        <v>0.86558010166932131</v>
      </c>
      <c r="P83" s="15">
        <f t="shared" si="59"/>
        <v>49.594086656156811</v>
      </c>
      <c r="Q83" s="15">
        <v>-6.0359012715033602</v>
      </c>
      <c r="R83" s="15">
        <f t="shared" si="60"/>
        <v>-0.10534635051304582</v>
      </c>
      <c r="S83" s="16">
        <f t="shared" si="48"/>
        <v>1.5777260806376203E-2</v>
      </c>
      <c r="U83" s="23">
        <f t="shared" si="77"/>
        <v>0.85613575666494601</v>
      </c>
      <c r="V83" s="23">
        <f t="shared" si="61"/>
        <v>49.052965547140644</v>
      </c>
      <c r="W83" s="23">
        <f t="shared" si="62"/>
        <v>1.6528869332218754E-2</v>
      </c>
      <c r="X83" s="23">
        <f t="shared" si="78"/>
        <v>3.5616643924761243E-2</v>
      </c>
      <c r="Y83" s="23">
        <f t="shared" si="79"/>
        <v>-1.6017531119882911E-2</v>
      </c>
      <c r="Z83" s="26">
        <f t="shared" si="63"/>
        <v>-0.10421093885836058</v>
      </c>
      <c r="AA83" s="23">
        <f t="shared" si="64"/>
        <v>-5.9708469756799305</v>
      </c>
      <c r="AB83" s="24">
        <f t="shared" si="80"/>
        <v>1.586380074842042E-2</v>
      </c>
      <c r="AD83" s="33">
        <f t="shared" si="81"/>
        <v>0.87513570920443573</v>
      </c>
      <c r="AE83" s="33">
        <f t="shared" si="65"/>
        <v>50.14158263860228</v>
      </c>
      <c r="AF83" s="33">
        <f t="shared" si="66"/>
        <v>-2.4710832072709632E-3</v>
      </c>
      <c r="AG83" s="33">
        <f t="shared" si="82"/>
        <v>5.5223144483224705E-2</v>
      </c>
      <c r="AH83" s="33">
        <f t="shared" si="83"/>
        <v>2.3946376077721432E-3</v>
      </c>
      <c r="AI83" s="35">
        <f t="shared" si="49"/>
        <v>-0.10551609573994634</v>
      </c>
      <c r="AJ83" s="33">
        <f t="shared" si="67"/>
        <v>-6.0456269565972507</v>
      </c>
      <c r="AK83" s="37">
        <f t="shared" si="84"/>
        <v>-2.3716547580245884E-3</v>
      </c>
      <c r="AM83" s="41">
        <f t="shared" si="68"/>
        <v>-9.0130254130036641E-2</v>
      </c>
      <c r="AN83" s="41">
        <f t="shared" si="69"/>
        <v>-5.1640831680926569</v>
      </c>
      <c r="AO83" s="42">
        <f t="shared" si="70"/>
        <v>9.0130254130036641E-2</v>
      </c>
      <c r="AP83" s="41">
        <f t="shared" si="85"/>
        <v>-0.44788620999927575</v>
      </c>
      <c r="AQ83" s="41">
        <f t="shared" si="86"/>
        <v>0.71689435157475667</v>
      </c>
      <c r="AR83" s="43">
        <f t="shared" si="50"/>
        <v>1.6181968928751229</v>
      </c>
      <c r="AS83" s="41">
        <f t="shared" si="51"/>
        <v>92.715852382927935</v>
      </c>
      <c r="AU83" s="48">
        <f t="shared" si="87"/>
        <v>-0.66888098865175283</v>
      </c>
      <c r="AV83" s="48">
        <f t="shared" si="71"/>
        <v>-38.32405764628335</v>
      </c>
      <c r="AW83" s="49">
        <f t="shared" si="72"/>
        <v>2.2870778815268755</v>
      </c>
      <c r="AX83" s="48">
        <f t="shared" si="88"/>
        <v>-2.1975176794529698</v>
      </c>
      <c r="AY83" s="48">
        <f t="shared" si="89"/>
        <v>-2.7071265906526865</v>
      </c>
      <c r="AZ83" s="50">
        <f t="shared" si="73"/>
        <v>-0.16558477119454795</v>
      </c>
      <c r="BA83" s="48">
        <f t="shared" si="74"/>
        <v>-9.4873085410870051</v>
      </c>
      <c r="BB83" s="52">
        <f t="shared" si="90"/>
        <v>4.5443046457794534</v>
      </c>
      <c r="BC83" s="44">
        <f t="shared" si="75"/>
        <v>-0.66888098865175283</v>
      </c>
    </row>
    <row r="84" spans="4:55" x14ac:dyDescent="0.3">
      <c r="D84">
        <f t="shared" si="76"/>
        <v>0.82000000000000051</v>
      </c>
      <c r="F84" s="5">
        <f t="shared" si="52"/>
        <v>0.73213639360344029</v>
      </c>
      <c r="G84" s="6">
        <f t="shared" si="53"/>
        <v>41.948325381405972</v>
      </c>
      <c r="I84" s="9">
        <f t="shared" si="54"/>
        <v>0.73500732799875934</v>
      </c>
      <c r="J84" s="9">
        <f t="shared" si="55"/>
        <v>42.112817805516691</v>
      </c>
      <c r="K84" s="9">
        <f t="shared" si="56"/>
        <v>-6.0359012715033646</v>
      </c>
      <c r="L84" s="9">
        <f t="shared" si="57"/>
        <v>-0.1053463505130459</v>
      </c>
      <c r="M84" s="11">
        <f t="shared" si="47"/>
        <v>0.30656329090244028</v>
      </c>
      <c r="O84" s="15">
        <f t="shared" si="58"/>
        <v>0.86573787427738502</v>
      </c>
      <c r="P84" s="15">
        <f t="shared" si="59"/>
        <v>49.603126360721639</v>
      </c>
      <c r="Q84" s="15">
        <v>-6.0359012715033602</v>
      </c>
      <c r="R84" s="15">
        <f t="shared" si="60"/>
        <v>-0.10534635051304582</v>
      </c>
      <c r="S84" s="16">
        <f t="shared" si="48"/>
        <v>1.5425900648610602E-2</v>
      </c>
      <c r="U84" s="23">
        <f t="shared" si="77"/>
        <v>0.85629439467243018</v>
      </c>
      <c r="V84" s="23">
        <f t="shared" si="61"/>
        <v>49.062054835439852</v>
      </c>
      <c r="W84" s="23">
        <f t="shared" si="62"/>
        <v>1.6370231324734585E-2</v>
      </c>
      <c r="X84" s="23">
        <f t="shared" si="78"/>
        <v>3.578034623800859E-2</v>
      </c>
      <c r="Y84" s="23">
        <f t="shared" si="79"/>
        <v>-1.5863800748416867E-2</v>
      </c>
      <c r="Z84" s="26">
        <f t="shared" si="63"/>
        <v>-0.10422183612174427</v>
      </c>
      <c r="AA84" s="23">
        <f t="shared" si="64"/>
        <v>-5.9714713428800579</v>
      </c>
      <c r="AB84" s="24">
        <f t="shared" si="80"/>
        <v>1.5711545824520279E-2</v>
      </c>
      <c r="AD84" s="33">
        <f t="shared" si="81"/>
        <v>0.87511199265685546</v>
      </c>
      <c r="AE84" s="33">
        <f t="shared" si="65"/>
        <v>50.14022378052131</v>
      </c>
      <c r="AF84" s="33">
        <f t="shared" si="66"/>
        <v>-2.4473666596906973E-3</v>
      </c>
      <c r="AG84" s="33">
        <f t="shared" si="82"/>
        <v>5.5198670816627798E-2</v>
      </c>
      <c r="AH84" s="33">
        <f t="shared" si="83"/>
        <v>2.3716547580265868E-3</v>
      </c>
      <c r="AI84" s="35">
        <f t="shared" si="49"/>
        <v>-0.10551446658766434</v>
      </c>
      <c r="AJ84" s="33">
        <f t="shared" si="67"/>
        <v>-6.0455336130473079</v>
      </c>
      <c r="AK84" s="37">
        <f t="shared" si="84"/>
        <v>-2.3488924888388496E-3</v>
      </c>
      <c r="AM84" s="41">
        <f t="shared" si="68"/>
        <v>-9.6819064016554171E-2</v>
      </c>
      <c r="AN84" s="41">
        <f t="shared" si="69"/>
        <v>-5.5473237445554906</v>
      </c>
      <c r="AO84" s="42">
        <f t="shared" si="70"/>
        <v>9.6819064016554171E-2</v>
      </c>
      <c r="AP84" s="41">
        <f t="shared" si="85"/>
        <v>-0.44691801935911019</v>
      </c>
      <c r="AQ84" s="41">
        <f t="shared" si="86"/>
        <v>0.66888098865175294</v>
      </c>
      <c r="AR84" s="43">
        <f t="shared" si="50"/>
        <v>1.6370716288172946</v>
      </c>
      <c r="AS84" s="41">
        <f t="shared" si="51"/>
        <v>93.797295091838265</v>
      </c>
      <c r="AU84" s="48">
        <f t="shared" si="87"/>
        <v>-0.62343794219395832</v>
      </c>
      <c r="AV84" s="48">
        <f t="shared" si="71"/>
        <v>-35.720362876034798</v>
      </c>
      <c r="AW84" s="49">
        <f t="shared" si="72"/>
        <v>2.2605095710112528</v>
      </c>
      <c r="AX84" s="48">
        <f t="shared" si="88"/>
        <v>-2.1749125837428571</v>
      </c>
      <c r="AY84" s="48">
        <f t="shared" si="89"/>
        <v>-2.6568310515622695</v>
      </c>
      <c r="AZ84" s="50">
        <f t="shared" si="73"/>
        <v>-0.15790981927898007</v>
      </c>
      <c r="BA84" s="48">
        <f t="shared" si="74"/>
        <v>-9.0475661883591183</v>
      </c>
      <c r="BB84" s="52">
        <f t="shared" si="90"/>
        <v>4.3015154716212969</v>
      </c>
      <c r="BC84" s="44">
        <f t="shared" si="75"/>
        <v>-0.62343794219395832</v>
      </c>
    </row>
    <row r="85" spans="4:55" x14ac:dyDescent="0.3">
      <c r="D85">
        <f t="shared" si="76"/>
        <v>0.83000000000000052</v>
      </c>
      <c r="F85" s="5">
        <f t="shared" si="52"/>
        <v>0.73523137177349973</v>
      </c>
      <c r="G85" s="6">
        <f t="shared" si="53"/>
        <v>42.125654568235497</v>
      </c>
      <c r="I85" s="9">
        <f t="shared" si="54"/>
        <v>0.73807296090778374</v>
      </c>
      <c r="J85" s="9">
        <f t="shared" si="55"/>
        <v>42.288465632740206</v>
      </c>
      <c r="K85" s="9">
        <f t="shared" si="56"/>
        <v>-6.0359012715033646</v>
      </c>
      <c r="L85" s="9">
        <f t="shared" si="57"/>
        <v>-0.1053463505130459</v>
      </c>
      <c r="M85" s="11">
        <f t="shared" si="47"/>
        <v>0.29973611554047563</v>
      </c>
      <c r="O85" s="15">
        <f t="shared" si="58"/>
        <v>0.86589213328387116</v>
      </c>
      <c r="P85" s="15">
        <f t="shared" si="59"/>
        <v>49.611964750745173</v>
      </c>
      <c r="Q85" s="15">
        <v>-6.0359012715033602</v>
      </c>
      <c r="R85" s="15">
        <f t="shared" si="60"/>
        <v>-0.10534635051304582</v>
      </c>
      <c r="S85" s="16">
        <f t="shared" si="48"/>
        <v>1.5082365294021072E-2</v>
      </c>
      <c r="U85" s="23">
        <f t="shared" si="77"/>
        <v>0.85645151013067533</v>
      </c>
      <c r="V85" s="23">
        <f t="shared" si="61"/>
        <v>49.071056888093565</v>
      </c>
      <c r="W85" s="23">
        <f t="shared" si="62"/>
        <v>1.6213115866489436E-2</v>
      </c>
      <c r="X85" s="23">
        <f t="shared" si="78"/>
        <v>3.5942477396673486E-2</v>
      </c>
      <c r="Y85" s="23">
        <f t="shared" si="79"/>
        <v>-1.571154582451495E-2</v>
      </c>
      <c r="Z85" s="26">
        <f t="shared" si="63"/>
        <v>-0.10423262879720327</v>
      </c>
      <c r="AA85" s="23">
        <f t="shared" si="64"/>
        <v>-5.9720897176335139</v>
      </c>
      <c r="AB85" s="24">
        <f t="shared" si="80"/>
        <v>1.5560752187381954E-2</v>
      </c>
      <c r="AD85" s="33">
        <f t="shared" si="81"/>
        <v>0.87508850373196712</v>
      </c>
      <c r="AE85" s="33">
        <f t="shared" si="65"/>
        <v>50.138877964259905</v>
      </c>
      <c r="AF85" s="33">
        <f t="shared" si="66"/>
        <v>-2.4238777348023488E-3</v>
      </c>
      <c r="AG85" s="33">
        <f t="shared" si="82"/>
        <v>5.5174432039279776E-2</v>
      </c>
      <c r="AH85" s="33">
        <f t="shared" si="83"/>
        <v>2.3488924888348528E-3</v>
      </c>
      <c r="AI85" s="35">
        <f t="shared" si="49"/>
        <v>-0.10551285307139903</v>
      </c>
      <c r="AJ85" s="33">
        <f t="shared" si="67"/>
        <v>-6.0454411653751299</v>
      </c>
      <c r="AK85" s="37">
        <f t="shared" si="84"/>
        <v>-2.3263486832942881E-3</v>
      </c>
      <c r="AM85" s="41">
        <f t="shared" si="68"/>
        <v>-0.10305344343849375</v>
      </c>
      <c r="AN85" s="41">
        <f t="shared" si="69"/>
        <v>-5.9045273733158385</v>
      </c>
      <c r="AO85" s="42">
        <f t="shared" si="70"/>
        <v>0.10305344343849375</v>
      </c>
      <c r="AP85" s="41">
        <f t="shared" si="85"/>
        <v>-0.44588748492472524</v>
      </c>
      <c r="AQ85" s="41">
        <f t="shared" si="86"/>
        <v>0.62343794219395787</v>
      </c>
      <c r="AR85" s="43">
        <f t="shared" si="50"/>
        <v>1.6539723765788952</v>
      </c>
      <c r="AS85" s="41">
        <f t="shared" si="51"/>
        <v>94.765636609193137</v>
      </c>
      <c r="AU85" s="48">
        <f t="shared" si="87"/>
        <v>-0.58042278747774534</v>
      </c>
      <c r="AV85" s="48">
        <f t="shared" si="71"/>
        <v>-33.255776055693538</v>
      </c>
      <c r="AW85" s="49">
        <f t="shared" si="72"/>
        <v>2.2343951640566404</v>
      </c>
      <c r="AX85" s="48">
        <f t="shared" si="88"/>
        <v>-2.1525686321022905</v>
      </c>
      <c r="AY85" s="48">
        <f t="shared" si="89"/>
        <v>-2.6114406954612424</v>
      </c>
      <c r="AZ85" s="50">
        <f t="shared" si="73"/>
        <v>-0.1505958604313935</v>
      </c>
      <c r="BA85" s="48">
        <f t="shared" si="74"/>
        <v>-8.6285072148600399</v>
      </c>
      <c r="BB85" s="52">
        <f t="shared" si="90"/>
        <v>4.0707928133675537</v>
      </c>
      <c r="BC85" s="44">
        <f t="shared" si="75"/>
        <v>-0.58042278747774534</v>
      </c>
    </row>
    <row r="86" spans="4:55" x14ac:dyDescent="0.3">
      <c r="D86">
        <f t="shared" si="76"/>
        <v>0.84000000000000052</v>
      </c>
      <c r="F86" s="5">
        <f t="shared" si="52"/>
        <v>0.73825818648835884</v>
      </c>
      <c r="G86" s="6">
        <f t="shared" si="53"/>
        <v>42.299078276765016</v>
      </c>
      <c r="I86" s="9">
        <f t="shared" si="54"/>
        <v>0.74107032206318846</v>
      </c>
      <c r="J86" s="9">
        <f t="shared" si="55"/>
        <v>42.460201776621354</v>
      </c>
      <c r="K86" s="9">
        <f t="shared" si="56"/>
        <v>-6.0359012715033646</v>
      </c>
      <c r="L86" s="9">
        <f t="shared" si="57"/>
        <v>-0.1053463505130459</v>
      </c>
      <c r="M86" s="11">
        <f t="shared" si="47"/>
        <v>0.29306098161597682</v>
      </c>
      <c r="O86" s="15">
        <f t="shared" si="58"/>
        <v>0.86604295693681133</v>
      </c>
      <c r="P86" s="15">
        <f t="shared" si="59"/>
        <v>49.620606309509391</v>
      </c>
      <c r="Q86" s="15">
        <v>-6.0359012715033602</v>
      </c>
      <c r="R86" s="15">
        <f t="shared" si="60"/>
        <v>-0.10534635051304582</v>
      </c>
      <c r="S86" s="16">
        <f t="shared" si="48"/>
        <v>1.4746480483963431E-2</v>
      </c>
      <c r="U86" s="23">
        <f t="shared" si="77"/>
        <v>0.85660711765254915</v>
      </c>
      <c r="V86" s="23">
        <f t="shared" si="61"/>
        <v>49.079972542357424</v>
      </c>
      <c r="W86" s="23">
        <f t="shared" si="62"/>
        <v>1.6057508344615612E-2</v>
      </c>
      <c r="X86" s="23">
        <f t="shared" si="78"/>
        <v>3.6103052480119642E-2</v>
      </c>
      <c r="Y86" s="23">
        <f t="shared" si="79"/>
        <v>-1.5560752187382398E-2</v>
      </c>
      <c r="Z86" s="26">
        <f t="shared" si="63"/>
        <v>-0.1042433178885336</v>
      </c>
      <c r="AA86" s="23">
        <f t="shared" si="64"/>
        <v>-5.972702157453571</v>
      </c>
      <c r="AB86" s="24">
        <f t="shared" si="80"/>
        <v>1.5411405812104428E-2</v>
      </c>
      <c r="AD86" s="33">
        <f t="shared" si="81"/>
        <v>0.87506524024513421</v>
      </c>
      <c r="AE86" s="33">
        <f t="shared" si="65"/>
        <v>50.137545064647625</v>
      </c>
      <c r="AF86" s="33">
        <f t="shared" si="66"/>
        <v>-2.4006142479694459E-3</v>
      </c>
      <c r="AG86" s="33">
        <f t="shared" si="82"/>
        <v>5.5150425896800082E-2</v>
      </c>
      <c r="AH86" s="33">
        <f t="shared" si="83"/>
        <v>2.3263486832902913E-3</v>
      </c>
      <c r="AI86" s="35">
        <f t="shared" si="49"/>
        <v>-0.10551125504107772</v>
      </c>
      <c r="AJ86" s="33">
        <f t="shared" si="67"/>
        <v>-6.0453496049821851</v>
      </c>
      <c r="AK86" s="37">
        <f t="shared" si="84"/>
        <v>-2.3040212447353881E-3</v>
      </c>
      <c r="AM86" s="41">
        <f t="shared" si="68"/>
        <v>-0.1088576713132712</v>
      </c>
      <c r="AN86" s="41">
        <f t="shared" si="69"/>
        <v>-6.2370851338727737</v>
      </c>
      <c r="AO86" s="42">
        <f t="shared" si="70"/>
        <v>0.1088576713132712</v>
      </c>
      <c r="AP86" s="41">
        <f t="shared" si="85"/>
        <v>-0.44479890821159251</v>
      </c>
      <c r="AQ86" s="41">
        <f t="shared" si="86"/>
        <v>0.58042278747774534</v>
      </c>
      <c r="AR86" s="43">
        <f t="shared" si="50"/>
        <v>1.6689995006104574</v>
      </c>
      <c r="AS86" s="41">
        <f t="shared" si="51"/>
        <v>95.626627394421277</v>
      </c>
      <c r="AU86" s="48">
        <f t="shared" si="87"/>
        <v>-0.53971485934406982</v>
      </c>
      <c r="AV86" s="48">
        <f t="shared" si="71"/>
        <v>-30.923383580912063</v>
      </c>
      <c r="AW86" s="49">
        <f t="shared" si="72"/>
        <v>2.2087143599545271</v>
      </c>
      <c r="AX86" s="48">
        <f t="shared" si="88"/>
        <v>-2.1304814885027454</v>
      </c>
      <c r="AY86" s="48">
        <f t="shared" si="89"/>
        <v>-2.5680804102113264</v>
      </c>
      <c r="AZ86" s="50">
        <f t="shared" si="73"/>
        <v>-0.14362534085250678</v>
      </c>
      <c r="BA86" s="48">
        <f t="shared" si="74"/>
        <v>-8.2291258619765237</v>
      </c>
      <c r="BB86" s="52">
        <f t="shared" si="90"/>
        <v>3.8515441171679621</v>
      </c>
      <c r="BC86" s="44">
        <f t="shared" si="75"/>
        <v>-0.53971485934406982</v>
      </c>
    </row>
    <row r="87" spans="4:55" x14ac:dyDescent="0.3">
      <c r="D87">
        <f t="shared" si="76"/>
        <v>0.85000000000000053</v>
      </c>
      <c r="F87" s="5">
        <f t="shared" si="52"/>
        <v>0.74121833897237843</v>
      </c>
      <c r="G87" s="6">
        <f t="shared" si="53"/>
        <v>42.468682520814511</v>
      </c>
      <c r="I87" s="9">
        <f t="shared" si="54"/>
        <v>0.74400093187934824</v>
      </c>
      <c r="J87" s="9">
        <f t="shared" si="55"/>
        <v>42.62811335048692</v>
      </c>
      <c r="K87" s="9">
        <f t="shared" si="56"/>
        <v>-6.0359012715033646</v>
      </c>
      <c r="L87" s="9">
        <f t="shared" si="57"/>
        <v>-0.1053463505130459</v>
      </c>
      <c r="M87" s="11">
        <f t="shared" si="47"/>
        <v>0.28653450316073825</v>
      </c>
      <c r="O87" s="15">
        <f t="shared" si="58"/>
        <v>0.86619042174165095</v>
      </c>
      <c r="P87" s="15">
        <f t="shared" si="59"/>
        <v>49.629055420453419</v>
      </c>
      <c r="Q87" s="15">
        <v>-6.0359012715033602</v>
      </c>
      <c r="R87" s="15">
        <f t="shared" si="60"/>
        <v>-0.10534635051304582</v>
      </c>
      <c r="S87" s="16">
        <f t="shared" si="48"/>
        <v>1.4418075840539002E-2</v>
      </c>
      <c r="U87" s="23">
        <f t="shared" si="77"/>
        <v>0.8567612317106702</v>
      </c>
      <c r="V87" s="23">
        <f t="shared" si="61"/>
        <v>49.088802627451393</v>
      </c>
      <c r="W87" s="23">
        <f t="shared" si="62"/>
        <v>1.5903394286494565E-2</v>
      </c>
      <c r="X87" s="23">
        <f t="shared" si="78"/>
        <v>3.6262086422984591E-2</v>
      </c>
      <c r="Y87" s="23">
        <f t="shared" si="79"/>
        <v>-1.541140581210465E-2</v>
      </c>
      <c r="Z87" s="26">
        <f t="shared" si="63"/>
        <v>-0.10425390438989779</v>
      </c>
      <c r="AA87" s="23">
        <f t="shared" si="64"/>
        <v>-5.9733087193015493</v>
      </c>
      <c r="AB87" s="24">
        <f t="shared" si="80"/>
        <v>1.5263492808404111E-2</v>
      </c>
      <c r="AD87" s="33">
        <f t="shared" si="81"/>
        <v>0.87504220003268685</v>
      </c>
      <c r="AE87" s="33">
        <f t="shared" si="65"/>
        <v>50.136224957715299</v>
      </c>
      <c r="AF87" s="33">
        <f t="shared" si="66"/>
        <v>-2.3775740355220787E-3</v>
      </c>
      <c r="AG87" s="33">
        <f t="shared" si="82"/>
        <v>5.5126650156444863E-2</v>
      </c>
      <c r="AH87" s="33">
        <f t="shared" si="83"/>
        <v>2.3040212447367203E-3</v>
      </c>
      <c r="AI87" s="35">
        <f t="shared" si="49"/>
        <v>-0.10550967234806925</v>
      </c>
      <c r="AJ87" s="33">
        <f t="shared" si="67"/>
        <v>-6.0452589233525345</v>
      </c>
      <c r="AK87" s="37">
        <f t="shared" si="84"/>
        <v>-2.2819080966065552E-3</v>
      </c>
      <c r="AM87" s="41">
        <f t="shared" si="68"/>
        <v>-0.11425481990671191</v>
      </c>
      <c r="AN87" s="41">
        <f t="shared" si="69"/>
        <v>-6.5463189696818942</v>
      </c>
      <c r="AO87" s="42">
        <f t="shared" si="70"/>
        <v>0.11425481990671191</v>
      </c>
      <c r="AP87" s="41">
        <f t="shared" si="85"/>
        <v>-0.4436563600125254</v>
      </c>
      <c r="AQ87" s="41">
        <f t="shared" si="86"/>
        <v>0.53971485934407037</v>
      </c>
      <c r="AR87" s="43">
        <f t="shared" si="50"/>
        <v>1.6822630584111895</v>
      </c>
      <c r="AS87" s="41">
        <f t="shared" si="51"/>
        <v>96.386573277731046</v>
      </c>
      <c r="AU87" s="48">
        <f t="shared" si="87"/>
        <v>-0.50119941817239022</v>
      </c>
      <c r="AV87" s="48">
        <f t="shared" si="71"/>
        <v>-28.716611355690414</v>
      </c>
      <c r="AW87" s="49">
        <f t="shared" si="72"/>
        <v>2.1834624765835797</v>
      </c>
      <c r="AX87" s="48">
        <f t="shared" si="88"/>
        <v>-2.1086468637369098</v>
      </c>
      <c r="AY87" s="48">
        <f t="shared" si="89"/>
        <v>-2.5251883370947414</v>
      </c>
      <c r="AZ87" s="50">
        <f t="shared" si="73"/>
        <v>-0.13700528400786616</v>
      </c>
      <c r="BA87" s="48">
        <f t="shared" si="74"/>
        <v>-7.8498245446419226</v>
      </c>
      <c r="BB87" s="52">
        <f t="shared" si="90"/>
        <v>3.6436434262225328</v>
      </c>
      <c r="BC87" s="44">
        <f t="shared" si="75"/>
        <v>-0.50119941817239022</v>
      </c>
    </row>
    <row r="88" spans="4:55" x14ac:dyDescent="0.3">
      <c r="D88">
        <f t="shared" si="76"/>
        <v>0.86000000000000054</v>
      </c>
      <c r="F88" s="5">
        <f t="shared" si="52"/>
        <v>0.74411329738712073</v>
      </c>
      <c r="G88" s="6">
        <f t="shared" si="53"/>
        <v>42.634551419845124</v>
      </c>
      <c r="I88" s="9">
        <f t="shared" si="54"/>
        <v>0.74686627691095564</v>
      </c>
      <c r="J88" s="9">
        <f t="shared" si="55"/>
        <v>42.792285527646804</v>
      </c>
      <c r="K88" s="9">
        <f t="shared" si="56"/>
        <v>-6.0359012715033646</v>
      </c>
      <c r="L88" s="9">
        <f t="shared" si="57"/>
        <v>-0.1053463505130459</v>
      </c>
      <c r="M88" s="11">
        <f t="shared" si="47"/>
        <v>0.28015336961218718</v>
      </c>
      <c r="O88" s="15">
        <f t="shared" si="58"/>
        <v>0.86633460250005634</v>
      </c>
      <c r="P88" s="15">
        <f t="shared" si="59"/>
        <v>49.637316369397048</v>
      </c>
      <c r="Q88" s="15">
        <v>-6.0359012715033602</v>
      </c>
      <c r="R88" s="15">
        <f t="shared" si="60"/>
        <v>-0.10534635051304582</v>
      </c>
      <c r="S88" s="16">
        <f t="shared" si="48"/>
        <v>1.4096984780171962E-2</v>
      </c>
      <c r="U88" s="23">
        <f t="shared" si="77"/>
        <v>0.85691386663875424</v>
      </c>
      <c r="V88" s="23">
        <f t="shared" si="61"/>
        <v>49.097547964636895</v>
      </c>
      <c r="W88" s="23">
        <f t="shared" si="62"/>
        <v>1.5750759358410527E-2</v>
      </c>
      <c r="X88" s="23">
        <f t="shared" si="78"/>
        <v>3.6419594016568697E-2</v>
      </c>
      <c r="Y88" s="23">
        <f t="shared" si="79"/>
        <v>-1.5263492808403889E-2</v>
      </c>
      <c r="Z88" s="26">
        <f t="shared" si="63"/>
        <v>-0.10426438928591643</v>
      </c>
      <c r="AA88" s="23">
        <f t="shared" si="64"/>
        <v>-5.9739094595920506</v>
      </c>
      <c r="AB88" s="24">
        <f t="shared" si="80"/>
        <v>1.5116999419304333E-2</v>
      </c>
      <c r="AD88" s="33">
        <f t="shared" si="81"/>
        <v>0.87501938095172083</v>
      </c>
      <c r="AE88" s="33">
        <f t="shared" si="65"/>
        <v>50.13491752068358</v>
      </c>
      <c r="AF88" s="33">
        <f t="shared" si="66"/>
        <v>-2.3547549545560598E-3</v>
      </c>
      <c r="AG88" s="33">
        <f t="shared" si="82"/>
        <v>5.5103102606899303E-2</v>
      </c>
      <c r="AH88" s="33">
        <f t="shared" si="83"/>
        <v>2.2819080966018923E-3</v>
      </c>
      <c r="AI88" s="35">
        <f t="shared" si="49"/>
        <v>-0.1055081048451695</v>
      </c>
      <c r="AJ88" s="33">
        <f t="shared" si="67"/>
        <v>-6.0451691120520037</v>
      </c>
      <c r="AK88" s="37">
        <f t="shared" si="84"/>
        <v>-2.260007182271373E-3</v>
      </c>
      <c r="AM88" s="41">
        <f t="shared" si="68"/>
        <v>-0.11926681408843581</v>
      </c>
      <c r="AN88" s="41">
        <f t="shared" si="69"/>
        <v>-6.8334850832387986</v>
      </c>
      <c r="AO88" s="42">
        <f t="shared" si="70"/>
        <v>0.11926681408843581</v>
      </c>
      <c r="AP88" s="41">
        <f t="shared" si="85"/>
        <v>-0.44246369187164103</v>
      </c>
      <c r="AQ88" s="41">
        <f t="shared" si="86"/>
        <v>0.50119941817239055</v>
      </c>
      <c r="AR88" s="43">
        <f t="shared" si="50"/>
        <v>1.6938675590567489</v>
      </c>
      <c r="AS88" s="41">
        <f t="shared" si="51"/>
        <v>97.051462188078432</v>
      </c>
      <c r="AU88" s="48">
        <f t="shared" si="87"/>
        <v>-0.46476298391016491</v>
      </c>
      <c r="AV88" s="48">
        <f t="shared" si="71"/>
        <v>-26.628957451959035</v>
      </c>
      <c r="AW88" s="49">
        <f t="shared" si="72"/>
        <v>2.1586305429669137</v>
      </c>
      <c r="AX88" s="48">
        <f t="shared" si="88"/>
        <v>-2.0870605583072406</v>
      </c>
      <c r="AY88" s="48">
        <f t="shared" si="89"/>
        <v>-2.4831933616666024</v>
      </c>
      <c r="AZ88" s="50">
        <f t="shared" si="73"/>
        <v>-0.13072400251101324</v>
      </c>
      <c r="BA88" s="48">
        <f t="shared" si="74"/>
        <v>-7.4899336249386348</v>
      </c>
      <c r="BB88" s="52">
        <f t="shared" si="90"/>
        <v>3.4466224113967527</v>
      </c>
      <c r="BC88" s="44">
        <f t="shared" si="75"/>
        <v>-0.46476298391016491</v>
      </c>
    </row>
    <row r="89" spans="4:55" x14ac:dyDescent="0.3">
      <c r="D89">
        <f t="shared" si="76"/>
        <v>0.87000000000000055</v>
      </c>
      <c r="F89" s="5">
        <f t="shared" si="52"/>
        <v>0.74694449755952108</v>
      </c>
      <c r="G89" s="6">
        <f t="shared" si="53"/>
        <v>42.796767240680374</v>
      </c>
      <c r="I89" s="9">
        <f t="shared" si="54"/>
        <v>0.74966781060707754</v>
      </c>
      <c r="J89" s="9">
        <f t="shared" si="55"/>
        <v>42.952801584598269</v>
      </c>
      <c r="K89" s="9">
        <f t="shared" si="56"/>
        <v>-6.0359012715033646</v>
      </c>
      <c r="L89" s="9">
        <f t="shared" si="57"/>
        <v>-0.1053463505130459</v>
      </c>
      <c r="M89" s="11">
        <f t="shared" si="47"/>
        <v>0.2739143441340961</v>
      </c>
      <c r="O89" s="15">
        <f t="shared" si="58"/>
        <v>0.8664755723478581</v>
      </c>
      <c r="P89" s="15">
        <f t="shared" si="59"/>
        <v>49.645393346714691</v>
      </c>
      <c r="Q89" s="15">
        <v>-6.0359012715033602</v>
      </c>
      <c r="R89" s="15">
        <f t="shared" si="60"/>
        <v>-0.10534635051304582</v>
      </c>
      <c r="S89" s="16">
        <f t="shared" si="48"/>
        <v>1.3783044429108271E-2</v>
      </c>
      <c r="U89" s="23">
        <f t="shared" si="77"/>
        <v>0.85706503663294731</v>
      </c>
      <c r="V89" s="23">
        <f t="shared" si="61"/>
        <v>49.106209367293175</v>
      </c>
      <c r="W89" s="23">
        <f t="shared" si="62"/>
        <v>1.5599589364217459E-2</v>
      </c>
      <c r="X89" s="23">
        <f t="shared" si="78"/>
        <v>3.6575589910210871E-2</v>
      </c>
      <c r="Y89" s="23">
        <f t="shared" si="79"/>
        <v>-1.5116999419306776E-2</v>
      </c>
      <c r="Z89" s="26">
        <f t="shared" si="63"/>
        <v>-0.10427477355176012</v>
      </c>
      <c r="AA89" s="23">
        <f t="shared" si="64"/>
        <v>-5.9745044341982361</v>
      </c>
      <c r="AB89" s="24">
        <f t="shared" si="80"/>
        <v>1.4971912019864586E-2</v>
      </c>
      <c r="AD89" s="33">
        <f t="shared" si="81"/>
        <v>0.87499678087989807</v>
      </c>
      <c r="AE89" s="33">
        <f t="shared" si="65"/>
        <v>50.133622631951447</v>
      </c>
      <c r="AF89" s="33">
        <f t="shared" si="66"/>
        <v>-2.3321548827333061E-3</v>
      </c>
      <c r="AG89" s="33">
        <f t="shared" si="82"/>
        <v>5.5079781058071972E-2</v>
      </c>
      <c r="AH89" s="33">
        <f t="shared" si="83"/>
        <v>2.2600071822753698E-3</v>
      </c>
      <c r="AI89" s="35">
        <f t="shared" si="49"/>
        <v>-0.10550655238658871</v>
      </c>
      <c r="AJ89" s="33">
        <f t="shared" si="67"/>
        <v>-6.045080162727456</v>
      </c>
      <c r="AK89" s="37">
        <f t="shared" si="84"/>
        <v>-2.2383164647998832E-3</v>
      </c>
      <c r="AM89" s="41">
        <f t="shared" si="68"/>
        <v>-0.12391444392753746</v>
      </c>
      <c r="AN89" s="41">
        <f t="shared" si="69"/>
        <v>-7.0997746577583891</v>
      </c>
      <c r="AO89" s="42">
        <f t="shared" si="70"/>
        <v>0.12391444392753746</v>
      </c>
      <c r="AP89" s="41">
        <f t="shared" si="85"/>
        <v>-0.44122454743236567</v>
      </c>
      <c r="AQ89" s="41">
        <f t="shared" si="86"/>
        <v>0.46476298391016496</v>
      </c>
      <c r="AR89" s="43">
        <f t="shared" si="50"/>
        <v>1.7039074231855396</v>
      </c>
      <c r="AS89" s="41">
        <f t="shared" si="51"/>
        <v>97.626704029542935</v>
      </c>
      <c r="AU89" s="48">
        <f t="shared" si="87"/>
        <v>-0.43029675979619736</v>
      </c>
      <c r="AV89" s="48">
        <f t="shared" si="71"/>
        <v>-24.65418827447667</v>
      </c>
      <c r="AW89" s="49">
        <f t="shared" si="72"/>
        <v>2.1342041829817369</v>
      </c>
      <c r="AX89" s="48">
        <f t="shared" si="88"/>
        <v>-2.065718516477423</v>
      </c>
      <c r="AY89" s="48">
        <f t="shared" si="89"/>
        <v>-2.4426359985176838</v>
      </c>
      <c r="AZ89" s="50">
        <f t="shared" si="73"/>
        <v>-0.12475815301603932</v>
      </c>
      <c r="BA89" s="48">
        <f t="shared" si="74"/>
        <v>-7.1481156276663755</v>
      </c>
      <c r="BB89" s="52">
        <f t="shared" si="90"/>
        <v>3.259808144372315</v>
      </c>
      <c r="BC89" s="44">
        <f t="shared" si="75"/>
        <v>-0.43029675979619736</v>
      </c>
    </row>
    <row r="90" spans="4:55" x14ac:dyDescent="0.3">
      <c r="D90">
        <f t="shared" si="76"/>
        <v>0.88000000000000056</v>
      </c>
      <c r="F90" s="5">
        <f t="shared" si="52"/>
        <v>0.74971334369402176</v>
      </c>
      <c r="G90" s="6">
        <f t="shared" si="53"/>
        <v>42.955410438308377</v>
      </c>
      <c r="I90" s="9">
        <f t="shared" si="54"/>
        <v>0.75240695404841851</v>
      </c>
      <c r="J90" s="9">
        <f t="shared" si="55"/>
        <v>43.109742943268053</v>
      </c>
      <c r="K90" s="9">
        <f t="shared" si="56"/>
        <v>-6.0359012715033646</v>
      </c>
      <c r="L90" s="9">
        <f t="shared" si="57"/>
        <v>-0.1053463505130459</v>
      </c>
      <c r="M90" s="11">
        <f t="shared" si="47"/>
        <v>0.26781426197469593</v>
      </c>
      <c r="O90" s="15">
        <f t="shared" si="58"/>
        <v>0.86661340279214916</v>
      </c>
      <c r="P90" s="15">
        <f t="shared" si="59"/>
        <v>49.653290449460975</v>
      </c>
      <c r="Q90" s="15">
        <v>-6.0359012715033602</v>
      </c>
      <c r="R90" s="15">
        <f t="shared" si="60"/>
        <v>-0.10534635051304582</v>
      </c>
      <c r="S90" s="16">
        <f t="shared" si="48"/>
        <v>1.3476095540797761E-2</v>
      </c>
      <c r="U90" s="23">
        <f t="shared" si="77"/>
        <v>0.85721475575314598</v>
      </c>
      <c r="V90" s="23">
        <f t="shared" si="61"/>
        <v>49.114787640992972</v>
      </c>
      <c r="W90" s="23">
        <f t="shared" si="62"/>
        <v>1.5449870244018782E-2</v>
      </c>
      <c r="X90" s="23">
        <f t="shared" si="78"/>
        <v>3.6730088612651056E-2</v>
      </c>
      <c r="Y90" s="23">
        <f t="shared" si="79"/>
        <v>-1.4971912019867695E-2</v>
      </c>
      <c r="Z90" s="26">
        <f t="shared" si="63"/>
        <v>-0.10428505815324034</v>
      </c>
      <c r="AA90" s="23">
        <f t="shared" si="64"/>
        <v>-5.9750936984570266</v>
      </c>
      <c r="AB90" s="24">
        <f t="shared" si="80"/>
        <v>1.4828217115913755E-2</v>
      </c>
      <c r="AD90" s="33">
        <f t="shared" si="81"/>
        <v>0.8749743977152501</v>
      </c>
      <c r="AE90" s="33">
        <f t="shared" si="65"/>
        <v>50.132340171084969</v>
      </c>
      <c r="AF90" s="33">
        <f t="shared" si="66"/>
        <v>-2.3097717180853294E-3</v>
      </c>
      <c r="AG90" s="33">
        <f t="shared" si="82"/>
        <v>5.5056683340891116E-2</v>
      </c>
      <c r="AH90" s="33">
        <f t="shared" si="83"/>
        <v>2.2383164647976628E-3</v>
      </c>
      <c r="AI90" s="35">
        <f t="shared" si="49"/>
        <v>-0.10550501482793556</v>
      </c>
      <c r="AJ90" s="33">
        <f t="shared" si="67"/>
        <v>-6.044992067105877</v>
      </c>
      <c r="AK90" s="37">
        <f t="shared" si="84"/>
        <v>-2.216833926831363E-3</v>
      </c>
      <c r="AM90" s="41">
        <f t="shared" si="68"/>
        <v>-0.12821741152549943</v>
      </c>
      <c r="AN90" s="41">
        <f t="shared" si="69"/>
        <v>-7.346316540503155</v>
      </c>
      <c r="AO90" s="42">
        <f t="shared" si="70"/>
        <v>0.12821741152549943</v>
      </c>
      <c r="AP90" s="41">
        <f t="shared" si="85"/>
        <v>-0.43994237331711067</v>
      </c>
      <c r="AQ90" s="41">
        <f t="shared" si="86"/>
        <v>0.43029675979619625</v>
      </c>
      <c r="AR90" s="43">
        <f t="shared" si="50"/>
        <v>1.7124708750511906</v>
      </c>
      <c r="AS90" s="41">
        <f t="shared" si="51"/>
        <v>98.117353679508156</v>
      </c>
      <c r="AU90" s="48">
        <f t="shared" si="87"/>
        <v>-0.39769867835247419</v>
      </c>
      <c r="AV90" s="48">
        <f t="shared" si="71"/>
        <v>-22.786455787527608</v>
      </c>
      <c r="AW90" s="49">
        <f t="shared" si="72"/>
        <v>2.1101695534036646</v>
      </c>
      <c r="AX90" s="48">
        <f t="shared" si="88"/>
        <v>-2.0446168209433861</v>
      </c>
      <c r="AY90" s="48">
        <f t="shared" si="89"/>
        <v>-2.4034629578072231</v>
      </c>
      <c r="AZ90" s="50">
        <f t="shared" si="73"/>
        <v>-0.11908815013152085</v>
      </c>
      <c r="BA90" s="48">
        <f t="shared" si="74"/>
        <v>-6.8232483925564642</v>
      </c>
      <c r="BB90" s="52">
        <f t="shared" si="90"/>
        <v>3.0826120096322676</v>
      </c>
      <c r="BC90" s="44">
        <f t="shared" si="75"/>
        <v>-0.39769867835247419</v>
      </c>
    </row>
    <row r="91" spans="4:55" x14ac:dyDescent="0.3">
      <c r="D91">
        <f t="shared" si="76"/>
        <v>0.89000000000000057</v>
      </c>
      <c r="F91" s="5">
        <f t="shared" si="52"/>
        <v>0.75242120906902266</v>
      </c>
      <c r="G91" s="6">
        <f t="shared" si="53"/>
        <v>43.11055969578554</v>
      </c>
      <c r="I91" s="9">
        <f t="shared" si="54"/>
        <v>0.75508509666816548</v>
      </c>
      <c r="J91" s="9">
        <f t="shared" si="55"/>
        <v>43.263189212313662</v>
      </c>
      <c r="K91" s="9">
        <f t="shared" si="56"/>
        <v>-6.0359012715033646</v>
      </c>
      <c r="L91" s="9">
        <f t="shared" si="57"/>
        <v>-0.1053463505130459</v>
      </c>
      <c r="M91" s="11">
        <f t="shared" si="47"/>
        <v>0.26185002886135078</v>
      </c>
      <c r="O91" s="15">
        <f t="shared" si="58"/>
        <v>0.86674816374755714</v>
      </c>
      <c r="P91" s="15">
        <f t="shared" si="59"/>
        <v>49.661011683449004</v>
      </c>
      <c r="Q91" s="15">
        <v>-6.0359012715033602</v>
      </c>
      <c r="R91" s="15">
        <f t="shared" si="60"/>
        <v>-0.10534635051304582</v>
      </c>
      <c r="S91" s="16">
        <f t="shared" si="48"/>
        <v>1.3175982415117193E-2</v>
      </c>
      <c r="U91" s="23">
        <f t="shared" si="77"/>
        <v>0.85736303792430513</v>
      </c>
      <c r="V91" s="23">
        <f t="shared" si="61"/>
        <v>49.123283583577425</v>
      </c>
      <c r="W91" s="23">
        <f t="shared" si="62"/>
        <v>1.530158807285964E-2</v>
      </c>
      <c r="X91" s="23">
        <f t="shared" si="78"/>
        <v>3.688310449337965E-2</v>
      </c>
      <c r="Y91" s="23">
        <f t="shared" si="79"/>
        <v>-1.48282171159142E-2</v>
      </c>
      <c r="Z91" s="26">
        <f t="shared" si="63"/>
        <v>-0.10429524404689901</v>
      </c>
      <c r="AA91" s="23">
        <f t="shared" si="64"/>
        <v>-5.9756773071742373</v>
      </c>
      <c r="AB91" s="24">
        <f t="shared" si="80"/>
        <v>1.4685901342793795E-2</v>
      </c>
      <c r="AD91" s="33">
        <f t="shared" si="81"/>
        <v>0.87495222937598183</v>
      </c>
      <c r="AE91" s="33">
        <f t="shared" si="65"/>
        <v>50.131070018806085</v>
      </c>
      <c r="AF91" s="33">
        <f t="shared" si="66"/>
        <v>-2.2876033788170602E-3</v>
      </c>
      <c r="AG91" s="33">
        <f t="shared" si="82"/>
        <v>5.5033807307102944E-2</v>
      </c>
      <c r="AH91" s="33">
        <f t="shared" si="83"/>
        <v>2.2168339268269222E-3</v>
      </c>
      <c r="AI91" s="35">
        <f t="shared" si="49"/>
        <v>-0.1055034920262059</v>
      </c>
      <c r="AJ91" s="33">
        <f t="shared" si="67"/>
        <v>-6.0449048169937321</v>
      </c>
      <c r="AK91" s="37">
        <f t="shared" si="84"/>
        <v>-2.1955575703360708E-3</v>
      </c>
      <c r="AM91" s="41">
        <f t="shared" si="68"/>
        <v>-0.13219439830902416</v>
      </c>
      <c r="AN91" s="41">
        <f t="shared" si="69"/>
        <v>-7.574181098378431</v>
      </c>
      <c r="AO91" s="42">
        <f t="shared" si="70"/>
        <v>0.13219439830902416</v>
      </c>
      <c r="AP91" s="41">
        <f t="shared" si="85"/>
        <v>-0.4386204293340204</v>
      </c>
      <c r="AQ91" s="41">
        <f t="shared" si="86"/>
        <v>0.3976986783524733</v>
      </c>
      <c r="AR91" s="43">
        <f t="shared" si="50"/>
        <v>1.7196426614427147</v>
      </c>
      <c r="AS91" s="41">
        <f t="shared" si="51"/>
        <v>98.528266771311849</v>
      </c>
      <c r="AU91" s="48">
        <f t="shared" si="87"/>
        <v>-0.3668725582561515</v>
      </c>
      <c r="AV91" s="48">
        <f t="shared" si="71"/>
        <v>-21.020249207244905</v>
      </c>
      <c r="AW91" s="49">
        <f t="shared" si="72"/>
        <v>2.0865152196988661</v>
      </c>
      <c r="AX91" s="48">
        <f t="shared" si="88"/>
        <v>-2.0237516687463977</v>
      </c>
      <c r="AY91" s="48">
        <f t="shared" si="89"/>
        <v>-2.3654333704798525</v>
      </c>
      <c r="AZ91" s="50">
        <f t="shared" si="73"/>
        <v>-0.11369993505253762</v>
      </c>
      <c r="BA91" s="48">
        <f t="shared" si="74"/>
        <v>-6.5145264094219755</v>
      </c>
      <c r="BB91" s="52">
        <f t="shared" si="90"/>
        <v>2.9145604544975097</v>
      </c>
      <c r="BC91" s="44">
        <f t="shared" si="75"/>
        <v>-0.3668725582561515</v>
      </c>
    </row>
    <row r="92" spans="4:55" x14ac:dyDescent="0.3">
      <c r="D92">
        <f t="shared" si="76"/>
        <v>0.90000000000000058</v>
      </c>
      <c r="F92" s="5">
        <f t="shared" si="52"/>
        <v>0.75506943671799276</v>
      </c>
      <c r="G92" s="6">
        <f t="shared" si="53"/>
        <v>43.262291963261376</v>
      </c>
      <c r="I92" s="9">
        <f t="shared" si="54"/>
        <v>0.75770359695677902</v>
      </c>
      <c r="J92" s="9">
        <f t="shared" si="55"/>
        <v>43.413218227505006</v>
      </c>
      <c r="K92" s="9">
        <f t="shared" si="56"/>
        <v>-6.0359012715033646</v>
      </c>
      <c r="L92" s="9">
        <f t="shared" si="57"/>
        <v>-0.1053463505130459</v>
      </c>
      <c r="M92" s="11">
        <f t="shared" si="47"/>
        <v>0.25601861943098636</v>
      </c>
      <c r="O92" s="15">
        <f t="shared" si="58"/>
        <v>0.86687992357170829</v>
      </c>
      <c r="P92" s="15">
        <f t="shared" si="59"/>
        <v>49.668560965282254</v>
      </c>
      <c r="Q92" s="15">
        <v>-6.0359012715033602</v>
      </c>
      <c r="R92" s="15">
        <f t="shared" si="60"/>
        <v>-0.10534635051304582</v>
      </c>
      <c r="S92" s="16">
        <f t="shared" si="48"/>
        <v>1.2882552819390547E-2</v>
      </c>
      <c r="U92" s="23">
        <f t="shared" si="77"/>
        <v>0.85750989693773305</v>
      </c>
      <c r="V92" s="23">
        <f t="shared" si="61"/>
        <v>49.131697985230296</v>
      </c>
      <c r="W92" s="23">
        <f t="shared" si="62"/>
        <v>1.5154729059431715E-2</v>
      </c>
      <c r="X92" s="23">
        <f t="shared" si="78"/>
        <v>3.7034651783973964E-2</v>
      </c>
      <c r="Y92" s="23">
        <f t="shared" si="79"/>
        <v>-1.4685901342792462E-2</v>
      </c>
      <c r="Z92" s="26">
        <f t="shared" si="63"/>
        <v>-0.1043053321800974</v>
      </c>
      <c r="AA92" s="23">
        <f t="shared" si="64"/>
        <v>-5.9762553146296709</v>
      </c>
      <c r="AB92" s="24">
        <f t="shared" si="80"/>
        <v>1.4544951464112055E-2</v>
      </c>
      <c r="AD92" s="33">
        <f t="shared" si="81"/>
        <v>0.87493027380027844</v>
      </c>
      <c r="AE92" s="33">
        <f t="shared" si="65"/>
        <v>50.1298120569815</v>
      </c>
      <c r="AF92" s="33">
        <f t="shared" si="66"/>
        <v>-2.2656478031136684E-3</v>
      </c>
      <c r="AG92" s="33">
        <f t="shared" si="82"/>
        <v>5.5011150829071806E-2</v>
      </c>
      <c r="AH92" s="33">
        <f t="shared" si="83"/>
        <v>2.1955575703391794E-3</v>
      </c>
      <c r="AI92" s="35">
        <f t="shared" si="49"/>
        <v>-0.10550198383976797</v>
      </c>
      <c r="AJ92" s="33">
        <f t="shared" si="67"/>
        <v>-6.0448184042761204</v>
      </c>
      <c r="AK92" s="37">
        <f t="shared" si="84"/>
        <v>-2.1744854164662542E-3</v>
      </c>
      <c r="AM92" s="41">
        <f t="shared" si="68"/>
        <v>-0.13586312389158567</v>
      </c>
      <c r="AN92" s="41">
        <f t="shared" si="69"/>
        <v>-7.7843835904508794</v>
      </c>
      <c r="AO92" s="42">
        <f t="shared" si="70"/>
        <v>0.13586312389158567</v>
      </c>
      <c r="AP92" s="41">
        <f t="shared" si="85"/>
        <v>-0.43726179809510457</v>
      </c>
      <c r="AQ92" s="41">
        <f t="shared" si="86"/>
        <v>0.36687255825615106</v>
      </c>
      <c r="AR92" s="43">
        <f t="shared" si="50"/>
        <v>1.7255037971720077</v>
      </c>
      <c r="AS92" s="41">
        <f t="shared" si="51"/>
        <v>98.864085111753681</v>
      </c>
      <c r="AU92" s="48">
        <f t="shared" si="87"/>
        <v>-0.33772695371117639</v>
      </c>
      <c r="AV92" s="48">
        <f t="shared" si="71"/>
        <v>-19.350329075460522</v>
      </c>
      <c r="AW92" s="49">
        <f t="shared" si="72"/>
        <v>2.063230750883184</v>
      </c>
      <c r="AX92" s="48">
        <f t="shared" si="88"/>
        <v>-2.003119361237566</v>
      </c>
      <c r="AY92" s="48">
        <f t="shared" si="89"/>
        <v>-2.3284468815682136</v>
      </c>
      <c r="AZ92" s="50">
        <f t="shared" si="73"/>
        <v>-0.10858054488339497</v>
      </c>
      <c r="BA92" s="48">
        <f t="shared" si="74"/>
        <v>-6.2212069590493373</v>
      </c>
      <c r="BB92" s="52">
        <f t="shared" si="90"/>
        <v>2.7552106896338167</v>
      </c>
      <c r="BC92" s="44">
        <f t="shared" si="75"/>
        <v>-0.33772695371117639</v>
      </c>
    </row>
    <row r="93" spans="4:55" x14ac:dyDescent="0.3">
      <c r="D93">
        <f t="shared" si="76"/>
        <v>0.91000000000000059</v>
      </c>
      <c r="F93" s="5">
        <f t="shared" si="52"/>
        <v>0.75765934009558122</v>
      </c>
      <c r="G93" s="6">
        <f t="shared" si="53"/>
        <v>43.410682496143878</v>
      </c>
      <c r="I93" s="9">
        <f t="shared" si="54"/>
        <v>0.76026378315108889</v>
      </c>
      <c r="J93" s="9">
        <f t="shared" si="55"/>
        <v>43.559906091206621</v>
      </c>
      <c r="K93" s="9">
        <f t="shared" si="56"/>
        <v>-6.0359012715033646</v>
      </c>
      <c r="L93" s="9">
        <f t="shared" si="57"/>
        <v>-0.1053463505130459</v>
      </c>
      <c r="M93" s="11">
        <f t="shared" si="47"/>
        <v>0.25031707569547246</v>
      </c>
      <c r="O93" s="15">
        <f t="shared" si="58"/>
        <v>0.86700874909990222</v>
      </c>
      <c r="P93" s="15">
        <f t="shared" si="59"/>
        <v>49.675942124341312</v>
      </c>
      <c r="Q93" s="15">
        <v>-6.0359012715033602</v>
      </c>
      <c r="R93" s="15">
        <f t="shared" si="60"/>
        <v>-0.10534635051304582</v>
      </c>
      <c r="S93" s="16">
        <f t="shared" si="48"/>
        <v>1.2595657911168345E-2</v>
      </c>
      <c r="U93" s="23">
        <f t="shared" si="77"/>
        <v>0.85765534645237418</v>
      </c>
      <c r="V93" s="23">
        <f t="shared" si="61"/>
        <v>49.140031628551462</v>
      </c>
      <c r="W93" s="23">
        <f t="shared" si="62"/>
        <v>1.5009279544790588E-2</v>
      </c>
      <c r="X93" s="23">
        <f t="shared" si="78"/>
        <v>3.718474457942187E-2</v>
      </c>
      <c r="Y93" s="23">
        <f t="shared" si="79"/>
        <v>-1.4544951464112721E-2</v>
      </c>
      <c r="Z93" s="26">
        <f t="shared" si="63"/>
        <v>-0.10431532349110435</v>
      </c>
      <c r="AA93" s="23">
        <f t="shared" si="64"/>
        <v>-5.9768277745821718</v>
      </c>
      <c r="AB93" s="24">
        <f t="shared" si="80"/>
        <v>1.4405354370514933E-2</v>
      </c>
      <c r="AD93" s="33">
        <f t="shared" si="81"/>
        <v>0.87490852894611382</v>
      </c>
      <c r="AE93" s="33">
        <f t="shared" si="65"/>
        <v>50.128566168611741</v>
      </c>
      <c r="AF93" s="33">
        <f t="shared" si="66"/>
        <v>-2.2439029489490503E-3</v>
      </c>
      <c r="AG93" s="33">
        <f t="shared" si="82"/>
        <v>5.4988711799582313E-2</v>
      </c>
      <c r="AH93" s="33">
        <f t="shared" si="83"/>
        <v>2.1744854164618133E-3</v>
      </c>
      <c r="AI93" s="35">
        <f t="shared" si="49"/>
        <v>-0.10550049012834883</v>
      </c>
      <c r="AJ93" s="33">
        <f t="shared" si="67"/>
        <v>-6.0447328209159927</v>
      </c>
      <c r="AK93" s="37">
        <f t="shared" si="84"/>
        <v>-2.1536155053736294E-3</v>
      </c>
      <c r="AM93" s="41">
        <f t="shared" si="68"/>
        <v>-0.13924039342869743</v>
      </c>
      <c r="AN93" s="41">
        <f t="shared" si="69"/>
        <v>-7.9778868812054844</v>
      </c>
      <c r="AO93" s="42">
        <f t="shared" si="70"/>
        <v>0.13924039342869743</v>
      </c>
      <c r="AP93" s="41">
        <f t="shared" si="85"/>
        <v>-0.4358693941608176</v>
      </c>
      <c r="AQ93" s="41">
        <f t="shared" si="86"/>
        <v>0.337726953711176</v>
      </c>
      <c r="AR93" s="43">
        <f t="shared" si="50"/>
        <v>1.7301308879981503</v>
      </c>
      <c r="AS93" s="41">
        <f t="shared" si="51"/>
        <v>99.129197887515346</v>
      </c>
      <c r="AU93" s="48">
        <f t="shared" si="87"/>
        <v>-0.3101748468148382</v>
      </c>
      <c r="AV93" s="48">
        <f t="shared" si="71"/>
        <v>-17.771709633607056</v>
      </c>
      <c r="AW93" s="49">
        <f t="shared" si="72"/>
        <v>2.0403057348129883</v>
      </c>
      <c r="AX93" s="48">
        <f t="shared" si="88"/>
        <v>-1.982716303889436</v>
      </c>
      <c r="AY93" s="48">
        <f t="shared" si="89"/>
        <v>-2.2925016070195703</v>
      </c>
      <c r="AZ93" s="50">
        <f t="shared" si="73"/>
        <v>-0.10371635381200672</v>
      </c>
      <c r="BA93" s="48">
        <f t="shared" si="74"/>
        <v>-5.9425093399135722</v>
      </c>
      <c r="BB93" s="52">
        <f t="shared" si="90"/>
        <v>2.6041175571737529</v>
      </c>
      <c r="BC93" s="44">
        <f t="shared" si="75"/>
        <v>-0.3101748468148382</v>
      </c>
    </row>
    <row r="94" spans="4:55" x14ac:dyDescent="0.3">
      <c r="D94">
        <f t="shared" si="76"/>
        <v>0.9200000000000006</v>
      </c>
      <c r="F94" s="5">
        <f t="shared" si="52"/>
        <v>0.76019220372905805</v>
      </c>
      <c r="G94" s="6">
        <f t="shared" si="53"/>
        <v>43.55580489242427</v>
      </c>
      <c r="I94" s="9">
        <f t="shared" si="54"/>
        <v>0.76276695390804361</v>
      </c>
      <c r="J94" s="9">
        <f t="shared" si="55"/>
        <v>43.703327210980696</v>
      </c>
      <c r="K94" s="9">
        <f t="shared" si="56"/>
        <v>-6.0359012715033646</v>
      </c>
      <c r="L94" s="9">
        <f t="shared" si="57"/>
        <v>-0.1053463505130459</v>
      </c>
      <c r="M94" s="11">
        <f t="shared" si="47"/>
        <v>0.24474250554117738</v>
      </c>
      <c r="O94" s="15">
        <f t="shared" si="58"/>
        <v>0.86713470567901385</v>
      </c>
      <c r="P94" s="15">
        <f t="shared" si="59"/>
        <v>49.683158904726312</v>
      </c>
      <c r="Q94" s="15">
        <v>-6.0359012715033602</v>
      </c>
      <c r="R94" s="15">
        <f t="shared" si="60"/>
        <v>-0.10534635051304582</v>
      </c>
      <c r="S94" s="16">
        <f t="shared" si="48"/>
        <v>1.2315152162728271E-2</v>
      </c>
      <c r="U94" s="23">
        <f t="shared" si="77"/>
        <v>0.85779939999607935</v>
      </c>
      <c r="V94" s="23">
        <f t="shared" si="61"/>
        <v>49.148285288629673</v>
      </c>
      <c r="W94" s="23">
        <f t="shared" si="62"/>
        <v>1.4865226001085419E-2</v>
      </c>
      <c r="X94" s="23">
        <f t="shared" si="78"/>
        <v>3.7333396839432723E-2</v>
      </c>
      <c r="Y94" s="23">
        <f t="shared" si="79"/>
        <v>-1.4405354370516932E-2</v>
      </c>
      <c r="Z94" s="26">
        <f t="shared" si="63"/>
        <v>-0.1043252189091837</v>
      </c>
      <c r="AA94" s="23">
        <f t="shared" si="64"/>
        <v>-5.9773947402746357</v>
      </c>
      <c r="AB94" s="24">
        <f t="shared" si="80"/>
        <v>1.4267097078469293E-2</v>
      </c>
      <c r="AD94" s="33">
        <f t="shared" si="81"/>
        <v>0.87488699279106008</v>
      </c>
      <c r="AE94" s="33">
        <f t="shared" si="65"/>
        <v>50.12733223782022</v>
      </c>
      <c r="AF94" s="33">
        <f t="shared" si="66"/>
        <v>-2.222366793895314E-3</v>
      </c>
      <c r="AG94" s="33">
        <f t="shared" si="82"/>
        <v>5.4966488131643357E-2</v>
      </c>
      <c r="AH94" s="33">
        <f t="shared" si="83"/>
        <v>2.1536155053736294E-3</v>
      </c>
      <c r="AI94" s="35">
        <f t="shared" si="49"/>
        <v>-0.10549901075302295</v>
      </c>
      <c r="AJ94" s="33">
        <f t="shared" si="67"/>
        <v>-6.0446480589535039</v>
      </c>
      <c r="AK94" s="37">
        <f t="shared" si="84"/>
        <v>-2.1329458960004377E-3</v>
      </c>
      <c r="AM94" s="41">
        <f t="shared" si="68"/>
        <v>-0.1423421418968458</v>
      </c>
      <c r="AN94" s="41">
        <f t="shared" si="69"/>
        <v>-8.1556039775415545</v>
      </c>
      <c r="AO94" s="42">
        <f t="shared" si="70"/>
        <v>0.1423421418968458</v>
      </c>
      <c r="AP94" s="41">
        <f t="shared" si="85"/>
        <v>-0.43444597274184915</v>
      </c>
      <c r="AQ94" s="41">
        <f t="shared" si="86"/>
        <v>0.31017484681483687</v>
      </c>
      <c r="AR94" s="43">
        <f t="shared" si="50"/>
        <v>1.7335962657832948</v>
      </c>
      <c r="AS94" s="41">
        <f t="shared" si="51"/>
        <v>99.327749409022516</v>
      </c>
      <c r="AU94" s="48">
        <f t="shared" si="87"/>
        <v>-0.28413367124310068</v>
      </c>
      <c r="AV94" s="48">
        <f t="shared" si="71"/>
        <v>-16.279660179787317</v>
      </c>
      <c r="AW94" s="49">
        <f t="shared" si="72"/>
        <v>2.0177299370263957</v>
      </c>
      <c r="AX94" s="48">
        <f t="shared" si="88"/>
        <v>-1.962539004519172</v>
      </c>
      <c r="AY94" s="48">
        <f t="shared" si="89"/>
        <v>-2.2575797786592577</v>
      </c>
      <c r="AZ94" s="50">
        <f t="shared" si="73"/>
        <v>-9.9093966121151178E-2</v>
      </c>
      <c r="BA94" s="48">
        <f t="shared" si="74"/>
        <v>-5.6776660339543277</v>
      </c>
      <c r="BB94" s="52">
        <f t="shared" si="90"/>
        <v>2.4608500577165131</v>
      </c>
      <c r="BC94" s="44">
        <f t="shared" si="75"/>
        <v>-0.28413367124310068</v>
      </c>
    </row>
    <row r="95" spans="4:55" x14ac:dyDescent="0.3">
      <c r="D95">
        <f t="shared" si="76"/>
        <v>0.9300000000000006</v>
      </c>
      <c r="F95" s="5">
        <f t="shared" si="52"/>
        <v>0.76266928385540733</v>
      </c>
      <c r="G95" s="6">
        <f t="shared" si="53"/>
        <v>43.697731129179815</v>
      </c>
      <c r="I95" s="9">
        <f t="shared" si="54"/>
        <v>0.76521437896345534</v>
      </c>
      <c r="J95" s="9">
        <f t="shared" si="55"/>
        <v>43.84355433733036</v>
      </c>
      <c r="K95" s="9">
        <f t="shared" si="56"/>
        <v>-6.0359012715033646</v>
      </c>
      <c r="L95" s="9">
        <f t="shared" si="57"/>
        <v>-0.1053463505130459</v>
      </c>
      <c r="M95" s="11">
        <f t="shared" si="47"/>
        <v>0.23929208126194434</v>
      </c>
      <c r="O95" s="15">
        <f t="shared" si="58"/>
        <v>0.86725785720064108</v>
      </c>
      <c r="P95" s="15">
        <f t="shared" si="59"/>
        <v>49.690214967156166</v>
      </c>
      <c r="Q95" s="15">
        <v>-6.0359012715033602</v>
      </c>
      <c r="R95" s="15">
        <f t="shared" si="60"/>
        <v>-0.10534635051304582</v>
      </c>
      <c r="S95" s="16">
        <f t="shared" si="48"/>
        <v>1.204089328725555E-2</v>
      </c>
      <c r="U95" s="23">
        <f t="shared" si="77"/>
        <v>0.85794207096686403</v>
      </c>
      <c r="V95" s="23">
        <f t="shared" si="61"/>
        <v>49.156459733114666</v>
      </c>
      <c r="W95" s="23">
        <f t="shared" si="62"/>
        <v>1.4722555030300732E-2</v>
      </c>
      <c r="X95" s="23">
        <f t="shared" si="78"/>
        <v>3.7480622389735728E-2</v>
      </c>
      <c r="Y95" s="23">
        <f t="shared" si="79"/>
        <v>-1.4267097078468627E-2</v>
      </c>
      <c r="Z95" s="26">
        <f t="shared" si="63"/>
        <v>-0.10433501935468058</v>
      </c>
      <c r="AA95" s="23">
        <f t="shared" si="64"/>
        <v>-5.977956264438955</v>
      </c>
      <c r="AB95" s="24">
        <f t="shared" si="80"/>
        <v>1.4130166729054539E-2</v>
      </c>
      <c r="AD95" s="33">
        <f t="shared" si="81"/>
        <v>0.87486566333210003</v>
      </c>
      <c r="AE95" s="33">
        <f t="shared" si="65"/>
        <v>50.126110149842511</v>
      </c>
      <c r="AF95" s="33">
        <f t="shared" si="66"/>
        <v>-2.201037334935263E-3</v>
      </c>
      <c r="AG95" s="33">
        <f t="shared" si="82"/>
        <v>5.4944477758294002E-2</v>
      </c>
      <c r="AH95" s="33">
        <f t="shared" si="83"/>
        <v>2.1329458960051006E-3</v>
      </c>
      <c r="AI95" s="35">
        <f t="shared" si="49"/>
        <v>-0.1054975455761975</v>
      </c>
      <c r="AJ95" s="33">
        <f t="shared" si="67"/>
        <v>-6.0445641105051653</v>
      </c>
      <c r="AK95" s="37">
        <f t="shared" si="84"/>
        <v>-2.1124746659288984E-3</v>
      </c>
      <c r="AM95" s="41">
        <f t="shared" si="68"/>
        <v>-0.1451834786092768</v>
      </c>
      <c r="AN95" s="41">
        <f t="shared" si="69"/>
        <v>-8.3184005793394267</v>
      </c>
      <c r="AO95" s="42">
        <f t="shared" si="70"/>
        <v>0.1451834786092768</v>
      </c>
      <c r="AP95" s="41">
        <f t="shared" si="85"/>
        <v>-0.43299413795575636</v>
      </c>
      <c r="AQ95" s="41">
        <f t="shared" si="86"/>
        <v>0.28413367124310029</v>
      </c>
      <c r="AR95" s="43">
        <f t="shared" si="50"/>
        <v>1.7359684573358685</v>
      </c>
      <c r="AS95" s="41">
        <f t="shared" si="51"/>
        <v>99.463665973181577</v>
      </c>
      <c r="AU95" s="48">
        <f t="shared" si="87"/>
        <v>-0.25952517066593556</v>
      </c>
      <c r="AV95" s="48">
        <f t="shared" si="71"/>
        <v>-14.869696956570504</v>
      </c>
      <c r="AW95" s="49">
        <f t="shared" si="72"/>
        <v>1.9954936280018041</v>
      </c>
      <c r="AX95" s="48">
        <f t="shared" si="88"/>
        <v>-1.942584068239154</v>
      </c>
      <c r="AY95" s="48">
        <f t="shared" si="89"/>
        <v>-2.2236309024591616</v>
      </c>
      <c r="AZ95" s="50">
        <f t="shared" si="73"/>
        <v>-9.4700965013004401E-2</v>
      </c>
      <c r="BA95" s="48">
        <f t="shared" si="74"/>
        <v>-5.4259656110612235</v>
      </c>
      <c r="BB95" s="52">
        <f t="shared" si="90"/>
        <v>2.3250048493173092</v>
      </c>
      <c r="BC95" s="44">
        <f t="shared" si="75"/>
        <v>-0.25952517066593556</v>
      </c>
    </row>
    <row r="96" spans="4:55" x14ac:dyDescent="0.3">
      <c r="D96">
        <f t="shared" si="76"/>
        <v>0.94000000000000061</v>
      </c>
      <c r="F96" s="5">
        <f t="shared" si="52"/>
        <v>0.76509180904438967</v>
      </c>
      <c r="G96" s="6">
        <f t="shared" si="53"/>
        <v>43.836531598272636</v>
      </c>
      <c r="I96" s="9">
        <f t="shared" si="54"/>
        <v>0.76760729977607478</v>
      </c>
      <c r="J96" s="9">
        <f t="shared" si="55"/>
        <v>43.980658600602467</v>
      </c>
      <c r="K96" s="9">
        <f t="shared" si="56"/>
        <v>-6.0359012715033646</v>
      </c>
      <c r="L96" s="9">
        <f t="shared" si="57"/>
        <v>-0.1053463505130459</v>
      </c>
      <c r="M96" s="11">
        <f t="shared" si="47"/>
        <v>0.2339630381247324</v>
      </c>
      <c r="O96" s="15">
        <f t="shared" si="58"/>
        <v>0.86737826613351365</v>
      </c>
      <c r="P96" s="15">
        <f t="shared" si="59"/>
        <v>49.697113890825442</v>
      </c>
      <c r="Q96" s="15">
        <v>-6.0359012715033602</v>
      </c>
      <c r="R96" s="15">
        <f t="shared" si="60"/>
        <v>-0.10534635051304582</v>
      </c>
      <c r="S96" s="16">
        <f t="shared" si="48"/>
        <v>1.1772742166666683E-2</v>
      </c>
      <c r="U96" s="23">
        <f t="shared" si="77"/>
        <v>0.85808337263415457</v>
      </c>
      <c r="V96" s="23">
        <f t="shared" si="61"/>
        <v>49.164555722288576</v>
      </c>
      <c r="W96" s="23">
        <f t="shared" si="62"/>
        <v>1.4581253363010194E-2</v>
      </c>
      <c r="X96" s="23">
        <f t="shared" si="78"/>
        <v>3.7626434923365829E-2</v>
      </c>
      <c r="Y96" s="23">
        <f t="shared" si="79"/>
        <v>-1.4130166729053872E-2</v>
      </c>
      <c r="Z96" s="26">
        <f t="shared" si="63"/>
        <v>-0.10434472573910678</v>
      </c>
      <c r="AA96" s="23">
        <f t="shared" si="64"/>
        <v>-5.9785123993009073</v>
      </c>
      <c r="AB96" s="24">
        <f t="shared" si="80"/>
        <v>1.3994550586761356E-2</v>
      </c>
      <c r="AD96" s="33">
        <f t="shared" si="81"/>
        <v>0.87484453858544076</v>
      </c>
      <c r="AE96" s="33">
        <f t="shared" si="65"/>
        <v>50.124899791015658</v>
      </c>
      <c r="AF96" s="33">
        <f t="shared" si="66"/>
        <v>-2.1799125882759895E-3</v>
      </c>
      <c r="AG96" s="33">
        <f t="shared" si="82"/>
        <v>5.4922678632411244E-2</v>
      </c>
      <c r="AH96" s="33">
        <f t="shared" si="83"/>
        <v>2.1124746659273441E-3</v>
      </c>
      <c r="AI96" s="35">
        <f t="shared" si="49"/>
        <v>-0.10549609446160015</v>
      </c>
      <c r="AJ96" s="33">
        <f t="shared" si="67"/>
        <v>-6.044480967763147</v>
      </c>
      <c r="AK96" s="37">
        <f t="shared" si="84"/>
        <v>-2.0921999111951362E-3</v>
      </c>
      <c r="AM96" s="41">
        <f t="shared" si="68"/>
        <v>-0.14777873031593616</v>
      </c>
      <c r="AN96" s="41">
        <f t="shared" si="69"/>
        <v>-8.4670975489051337</v>
      </c>
      <c r="AO96" s="42">
        <f t="shared" si="70"/>
        <v>0.14777873031593616</v>
      </c>
      <c r="AP96" s="41">
        <f t="shared" si="85"/>
        <v>-0.43151635065259702</v>
      </c>
      <c r="AQ96" s="41">
        <f t="shared" si="86"/>
        <v>0.25952517066593628</v>
      </c>
      <c r="AR96" s="43">
        <f t="shared" si="50"/>
        <v>1.7373124738252979</v>
      </c>
      <c r="AS96" s="41">
        <f t="shared" si="51"/>
        <v>99.540672445621865</v>
      </c>
      <c r="AU96" s="48">
        <f t="shared" si="87"/>
        <v>-0.23627512217276248</v>
      </c>
      <c r="AV96" s="48">
        <f t="shared" si="71"/>
        <v>-13.537567304437188</v>
      </c>
      <c r="AW96" s="49">
        <f t="shared" si="72"/>
        <v>1.9735875959980604</v>
      </c>
      <c r="AX96" s="48">
        <f t="shared" si="88"/>
        <v>-1.9228481922791734</v>
      </c>
      <c r="AY96" s="48">
        <f t="shared" si="89"/>
        <v>-2.1906032003743636</v>
      </c>
      <c r="AZ96" s="50">
        <f t="shared" si="73"/>
        <v>-9.0525791435902336E-2</v>
      </c>
      <c r="BA96" s="48">
        <f t="shared" si="74"/>
        <v>-5.1867457863587365</v>
      </c>
      <c r="BB96" s="52">
        <f t="shared" si="90"/>
        <v>2.1962033961535536</v>
      </c>
      <c r="BC96" s="44">
        <f t="shared" si="75"/>
        <v>-0.23627512217276248</v>
      </c>
    </row>
    <row r="97" spans="4:55" x14ac:dyDescent="0.3">
      <c r="D97">
        <f t="shared" si="76"/>
        <v>0.95000000000000062</v>
      </c>
      <c r="F97" s="5">
        <f t="shared" si="52"/>
        <v>0.76746098080788161</v>
      </c>
      <c r="G97" s="6">
        <f t="shared" si="53"/>
        <v>43.972275141262287</v>
      </c>
      <c r="I97" s="9">
        <f t="shared" si="54"/>
        <v>0.76994693015732207</v>
      </c>
      <c r="J97" s="9">
        <f t="shared" si="55"/>
        <v>44.114709547068522</v>
      </c>
      <c r="K97" s="9">
        <f t="shared" si="56"/>
        <v>-6.0359012715033646</v>
      </c>
      <c r="L97" s="9">
        <f t="shared" si="57"/>
        <v>-0.1053463505130459</v>
      </c>
      <c r="M97" s="11">
        <f t="shared" si="47"/>
        <v>0.22875267296720336</v>
      </c>
      <c r="O97" s="15">
        <f t="shared" si="58"/>
        <v>0.86749599355518037</v>
      </c>
      <c r="P97" s="15">
        <f t="shared" si="59"/>
        <v>49.703859175219897</v>
      </c>
      <c r="Q97" s="15">
        <v>-6.0359012715033602</v>
      </c>
      <c r="R97" s="15">
        <f t="shared" si="60"/>
        <v>-0.10534635051304582</v>
      </c>
      <c r="S97" s="16">
        <f t="shared" si="48"/>
        <v>1.1510562781045008E-2</v>
      </c>
      <c r="U97" s="23">
        <f t="shared" si="77"/>
        <v>0.85822331814002217</v>
      </c>
      <c r="V97" s="23">
        <f t="shared" si="61"/>
        <v>49.172574009136618</v>
      </c>
      <c r="W97" s="23">
        <f t="shared" si="62"/>
        <v>1.4441307857142593E-2</v>
      </c>
      <c r="X97" s="23">
        <f t="shared" si="78"/>
        <v>3.7770848001937252E-2</v>
      </c>
      <c r="Y97" s="23">
        <f t="shared" si="79"/>
        <v>-1.3994550586760024E-2</v>
      </c>
      <c r="Z97" s="26">
        <f t="shared" si="63"/>
        <v>-0.10435433896522589</v>
      </c>
      <c r="AA97" s="23">
        <f t="shared" si="64"/>
        <v>-5.979063196585038</v>
      </c>
      <c r="AB97" s="24">
        <f t="shared" si="80"/>
        <v>1.3860236038313989E-2</v>
      </c>
      <c r="AD97" s="33">
        <f t="shared" si="81"/>
        <v>0.87482361658632879</v>
      </c>
      <c r="AE97" s="33">
        <f t="shared" si="65"/>
        <v>50.123701048767565</v>
      </c>
      <c r="AF97" s="33">
        <f t="shared" si="66"/>
        <v>-2.1589905891640226E-3</v>
      </c>
      <c r="AG97" s="33">
        <f t="shared" si="82"/>
        <v>5.4901088726519602E-2</v>
      </c>
      <c r="AH97" s="33">
        <f t="shared" si="83"/>
        <v>2.0921999111966905E-3</v>
      </c>
      <c r="AI97" s="35">
        <f t="shared" si="49"/>
        <v>-0.10549465727426714</v>
      </c>
      <c r="AJ97" s="33">
        <f t="shared" si="67"/>
        <v>-6.0443986229945965</v>
      </c>
      <c r="AK97" s="37">
        <f t="shared" si="84"/>
        <v>-2.0721197460933372E-3</v>
      </c>
      <c r="AM97" s="41">
        <f t="shared" si="68"/>
        <v>-0.1501414815376638</v>
      </c>
      <c r="AN97" s="41">
        <f t="shared" si="69"/>
        <v>-8.6024732219495057</v>
      </c>
      <c r="AO97" s="42">
        <f t="shared" si="70"/>
        <v>0.1501414815376638</v>
      </c>
      <c r="AP97" s="41">
        <f t="shared" si="85"/>
        <v>-0.43001493583722039</v>
      </c>
      <c r="AQ97" s="41">
        <f t="shared" si="86"/>
        <v>0.23627512217276325</v>
      </c>
      <c r="AR97" s="43">
        <f t="shared" si="50"/>
        <v>1.7376899375494013</v>
      </c>
      <c r="AS97" s="41">
        <f t="shared" si="51"/>
        <v>99.562299523932282</v>
      </c>
      <c r="AU97" s="48">
        <f t="shared" si="87"/>
        <v>-0.21431308821122694</v>
      </c>
      <c r="AV97" s="48">
        <f t="shared" si="71"/>
        <v>-12.279235448918222</v>
      </c>
      <c r="AW97" s="49">
        <f t="shared" si="72"/>
        <v>1.9520030257606282</v>
      </c>
      <c r="AX97" s="48">
        <f t="shared" si="88"/>
        <v>-1.9033281620215672</v>
      </c>
      <c r="AY97" s="48">
        <f t="shared" si="89"/>
        <v>-2.158457023743221</v>
      </c>
      <c r="AZ97" s="50">
        <f t="shared" si="73"/>
        <v>-8.6557442359405989E-2</v>
      </c>
      <c r="BA97" s="48">
        <f t="shared" si="74"/>
        <v>-4.9593761326408581</v>
      </c>
      <c r="BB97" s="52">
        <f t="shared" si="90"/>
        <v>2.0740858498765027</v>
      </c>
      <c r="BC97" s="44">
        <f t="shared" si="75"/>
        <v>-0.21431308821122694</v>
      </c>
    </row>
    <row r="98" spans="4:55" x14ac:dyDescent="0.3">
      <c r="D98">
        <f t="shared" si="76"/>
        <v>0.96000000000000063</v>
      </c>
      <c r="F98" s="5">
        <f t="shared" si="52"/>
        <v>0.76977797419579563</v>
      </c>
      <c r="G98" s="6">
        <f t="shared" si="53"/>
        <v>44.105029083549482</v>
      </c>
      <c r="I98" s="9">
        <f t="shared" si="54"/>
        <v>0.7722344568869941</v>
      </c>
      <c r="J98" s="9">
        <f t="shared" si="55"/>
        <v>44.245775174202087</v>
      </c>
      <c r="K98" s="9">
        <f t="shared" si="56"/>
        <v>-6.0359012715033646</v>
      </c>
      <c r="L98" s="9">
        <f t="shared" si="57"/>
        <v>-0.1053463505130459</v>
      </c>
      <c r="M98" s="11">
        <f t="shared" si="47"/>
        <v>0.22365834282653974</v>
      </c>
      <c r="O98" s="15">
        <f t="shared" si="58"/>
        <v>0.86761109918299084</v>
      </c>
      <c r="P98" s="15">
        <f t="shared" si="59"/>
        <v>49.71045424189164</v>
      </c>
      <c r="Q98" s="15">
        <v>-6.0359012715033602</v>
      </c>
      <c r="R98" s="15">
        <f t="shared" si="60"/>
        <v>-0.10534635051304582</v>
      </c>
      <c r="S98" s="16">
        <f t="shared" si="48"/>
        <v>1.1254222139639891E-2</v>
      </c>
      <c r="U98" s="23">
        <f t="shared" si="77"/>
        <v>0.85836192050040527</v>
      </c>
      <c r="V98" s="23">
        <f t="shared" si="61"/>
        <v>49.18051533941712</v>
      </c>
      <c r="W98" s="23">
        <f t="shared" si="62"/>
        <v>1.4302705496759494E-2</v>
      </c>
      <c r="X98" s="23">
        <f t="shared" si="78"/>
        <v>3.7913875056904849E-2</v>
      </c>
      <c r="Y98" s="23">
        <f t="shared" si="79"/>
        <v>-1.3860236038309992E-2</v>
      </c>
      <c r="Z98" s="26">
        <f t="shared" si="63"/>
        <v>-0.10436385992713713</v>
      </c>
      <c r="AA98" s="23">
        <f t="shared" si="64"/>
        <v>-5.9796087075194571</v>
      </c>
      <c r="AB98" s="24">
        <f t="shared" si="80"/>
        <v>1.3727210591494732E-2</v>
      </c>
      <c r="AD98" s="33">
        <f t="shared" si="81"/>
        <v>0.87480289538886791</v>
      </c>
      <c r="AE98" s="33">
        <f t="shared" si="65"/>
        <v>50.122513811606595</v>
      </c>
      <c r="AF98" s="33">
        <f t="shared" si="66"/>
        <v>-2.1382693917031403E-3</v>
      </c>
      <c r="AG98" s="33">
        <f t="shared" si="82"/>
        <v>5.4879706032602574E-2</v>
      </c>
      <c r="AH98" s="33">
        <f t="shared" si="83"/>
        <v>2.0721197460882301E-3</v>
      </c>
      <c r="AI98" s="35">
        <f t="shared" si="49"/>
        <v>-0.10549323388052931</v>
      </c>
      <c r="AJ98" s="33">
        <f t="shared" si="67"/>
        <v>-6.0443170685408329</v>
      </c>
      <c r="AK98" s="37">
        <f t="shared" si="84"/>
        <v>-2.0522323030327527E-3</v>
      </c>
      <c r="AM98" s="41">
        <f t="shared" si="68"/>
        <v>-0.15228461241977606</v>
      </c>
      <c r="AN98" s="41">
        <f t="shared" si="69"/>
        <v>-8.7252655764386873</v>
      </c>
      <c r="AO98" s="42">
        <f t="shared" si="70"/>
        <v>0.15228461241977606</v>
      </c>
      <c r="AP98" s="41">
        <f t="shared" si="85"/>
        <v>-0.42849208971302261</v>
      </c>
      <c r="AQ98" s="41">
        <f t="shared" si="86"/>
        <v>0.21431308821122652</v>
      </c>
      <c r="AR98" s="43">
        <f t="shared" si="50"/>
        <v>1.7371592124089872</v>
      </c>
      <c r="AS98" s="41">
        <f t="shared" si="51"/>
        <v>99.531891213305073</v>
      </c>
      <c r="AU98" s="48">
        <f t="shared" si="87"/>
        <v>-0.19357222971246191</v>
      </c>
      <c r="AV98" s="48">
        <f t="shared" si="71"/>
        <v>-11.09087179346094</v>
      </c>
      <c r="AW98" s="49">
        <f t="shared" si="72"/>
        <v>1.930731442121449</v>
      </c>
      <c r="AX98" s="48">
        <f t="shared" si="88"/>
        <v>-1.8840208476003526</v>
      </c>
      <c r="AY98" s="48">
        <f t="shared" si="89"/>
        <v>-2.1271583639179248</v>
      </c>
      <c r="AZ98" s="50">
        <f t="shared" si="73"/>
        <v>-8.2785397222603141E-2</v>
      </c>
      <c r="BA98" s="48">
        <f t="shared" si="74"/>
        <v>-4.7432538661692076</v>
      </c>
      <c r="BB98" s="52">
        <f t="shared" si="90"/>
        <v>1.9583092765603944</v>
      </c>
      <c r="BC98" s="44">
        <f t="shared" si="75"/>
        <v>-0.19357222971246191</v>
      </c>
    </row>
    <row r="99" spans="4:55" x14ac:dyDescent="0.3">
      <c r="D99">
        <f t="shared" si="76"/>
        <v>0.97000000000000064</v>
      </c>
      <c r="F99" s="5">
        <f t="shared" si="52"/>
        <v>0.77204393837887575</v>
      </c>
      <c r="G99" s="6">
        <f t="shared" si="53"/>
        <v>44.234859267767781</v>
      </c>
      <c r="I99" s="9">
        <f t="shared" si="54"/>
        <v>0.77447104031525948</v>
      </c>
      <c r="J99" s="9">
        <f t="shared" si="55"/>
        <v>44.373921965170595</v>
      </c>
      <c r="K99" s="9">
        <f t="shared" si="56"/>
        <v>-6.0359012715033646</v>
      </c>
      <c r="L99" s="9">
        <f t="shared" si="57"/>
        <v>-0.1053463505130459</v>
      </c>
      <c r="M99" s="11">
        <f t="shared" si="47"/>
        <v>0.21867746359880136</v>
      </c>
      <c r="O99" s="15">
        <f t="shared" si="58"/>
        <v>0.86772364140438729</v>
      </c>
      <c r="P99" s="15">
        <f t="shared" si="59"/>
        <v>49.716902436194687</v>
      </c>
      <c r="Q99" s="15">
        <v>-6.0359012715033602</v>
      </c>
      <c r="R99" s="15">
        <f t="shared" si="60"/>
        <v>-0.10534635051304582</v>
      </c>
      <c r="S99" s="16">
        <f t="shared" si="48"/>
        <v>1.1003590213411352E-2</v>
      </c>
      <c r="U99" s="23">
        <f t="shared" si="77"/>
        <v>0.85849919260632024</v>
      </c>
      <c r="V99" s="23">
        <f t="shared" si="61"/>
        <v>49.188380451730922</v>
      </c>
      <c r="W99" s="23">
        <f t="shared" si="62"/>
        <v>1.4165433390844528E-2</v>
      </c>
      <c r="X99" s="23">
        <f t="shared" si="78"/>
        <v>3.8055529390813296E-2</v>
      </c>
      <c r="Y99" s="23">
        <f t="shared" si="79"/>
        <v>-1.3727210591496508E-2</v>
      </c>
      <c r="Z99" s="26">
        <f t="shared" si="63"/>
        <v>-0.10437328951035817</v>
      </c>
      <c r="AA99" s="23">
        <f t="shared" si="64"/>
        <v>-5.9801489828405892</v>
      </c>
      <c r="AB99" s="24">
        <f t="shared" si="80"/>
        <v>1.3595461873974646E-2</v>
      </c>
      <c r="AD99" s="33">
        <f t="shared" si="81"/>
        <v>0.87478237306583762</v>
      </c>
      <c r="AE99" s="33">
        <f t="shared" si="65"/>
        <v>50.12133796911116</v>
      </c>
      <c r="AF99" s="33">
        <f t="shared" si="66"/>
        <v>-2.1177470686728483E-3</v>
      </c>
      <c r="AG99" s="33">
        <f t="shared" si="82"/>
        <v>5.4858528561915844E-2</v>
      </c>
      <c r="AH99" s="33">
        <f t="shared" si="83"/>
        <v>2.0522323030292E-3</v>
      </c>
      <c r="AI99" s="35">
        <f t="shared" si="49"/>
        <v>-0.10549182414800114</v>
      </c>
      <c r="AJ99" s="33">
        <f t="shared" si="67"/>
        <v>-6.0442362968167265</v>
      </c>
      <c r="AK99" s="37">
        <f t="shared" si="84"/>
        <v>-2.0325357323316418E-3</v>
      </c>
      <c r="AM99" s="41">
        <f t="shared" si="68"/>
        <v>-0.15422033471690069</v>
      </c>
      <c r="AN99" s="41">
        <f t="shared" si="69"/>
        <v>-8.836174294373297</v>
      </c>
      <c r="AO99" s="42">
        <f t="shared" si="70"/>
        <v>0.15422033471690069</v>
      </c>
      <c r="AP99" s="41">
        <f t="shared" si="85"/>
        <v>-0.42694988636585363</v>
      </c>
      <c r="AQ99" s="41">
        <f t="shared" si="86"/>
        <v>0.19357222971246313</v>
      </c>
      <c r="AR99" s="43">
        <f t="shared" si="50"/>
        <v>1.73577557688147</v>
      </c>
      <c r="AS99" s="41">
        <f t="shared" si="51"/>
        <v>99.452614737193983</v>
      </c>
      <c r="AU99" s="48">
        <f t="shared" si="87"/>
        <v>-0.17398913694685797</v>
      </c>
      <c r="AV99" s="48">
        <f t="shared" si="71"/>
        <v>-9.9688432281786596</v>
      </c>
      <c r="AW99" s="49">
        <f t="shared" si="72"/>
        <v>1.909764713828328</v>
      </c>
      <c r="AX99" s="48">
        <f t="shared" si="88"/>
        <v>-1.8649232004620693</v>
      </c>
      <c r="AY99" s="48">
        <f t="shared" si="89"/>
        <v>-2.0966728293120962</v>
      </c>
      <c r="AZ99" s="50">
        <f t="shared" si="73"/>
        <v>-7.9199662585957009E-2</v>
      </c>
      <c r="BA99" s="48">
        <f t="shared" si="74"/>
        <v>-4.537806405035508</v>
      </c>
      <c r="BB99" s="52">
        <f t="shared" si="90"/>
        <v>1.8485481037540006</v>
      </c>
      <c r="BC99" s="44">
        <f t="shared" si="75"/>
        <v>-0.17398913694685797</v>
      </c>
    </row>
    <row r="100" spans="4:55" x14ac:dyDescent="0.3">
      <c r="D100">
        <f t="shared" si="76"/>
        <v>0.98000000000000065</v>
      </c>
      <c r="F100" s="5">
        <f t="shared" si="52"/>
        <v>0.77425999721865724</v>
      </c>
      <c r="G100" s="6">
        <f t="shared" si="53"/>
        <v>44.361830086439916</v>
      </c>
      <c r="I100" s="9">
        <f t="shared" si="54"/>
        <v>0.77665781495124753</v>
      </c>
      <c r="J100" s="9">
        <f t="shared" si="55"/>
        <v>44.49921492255897</v>
      </c>
      <c r="K100" s="9">
        <f t="shared" si="56"/>
        <v>-6.0359012715033646</v>
      </c>
      <c r="L100" s="9">
        <f t="shared" si="57"/>
        <v>-0.1053463505130459</v>
      </c>
      <c r="M100" s="11">
        <f t="shared" si="47"/>
        <v>0.21380750872813192</v>
      </c>
      <c r="O100" s="15">
        <f t="shared" si="58"/>
        <v>0.86783367730652139</v>
      </c>
      <c r="P100" s="15">
        <f t="shared" si="59"/>
        <v>49.723207028981882</v>
      </c>
      <c r="Q100" s="15">
        <v>-6.0359012715033602</v>
      </c>
      <c r="R100" s="15">
        <f t="shared" si="60"/>
        <v>-0.10534635051304582</v>
      </c>
      <c r="S100" s="16">
        <f t="shared" si="48"/>
        <v>1.0758539869069716E-2</v>
      </c>
      <c r="U100" s="23">
        <f t="shared" si="77"/>
        <v>0.85863514722505996</v>
      </c>
      <c r="V100" s="23">
        <f t="shared" si="61"/>
        <v>49.196170077590011</v>
      </c>
      <c r="W100" s="23">
        <f t="shared" si="62"/>
        <v>1.4029478772104809E-2</v>
      </c>
      <c r="X100" s="23">
        <f t="shared" si="78"/>
        <v>3.8195824178534343E-2</v>
      </c>
      <c r="Y100" s="23">
        <f t="shared" si="79"/>
        <v>-1.3595461873971981E-2</v>
      </c>
      <c r="Z100" s="26">
        <f t="shared" si="63"/>
        <v>-0.10438262859190844</v>
      </c>
      <c r="AA100" s="23">
        <f t="shared" si="64"/>
        <v>-5.9806840727979491</v>
      </c>
      <c r="AB100" s="24">
        <f t="shared" si="80"/>
        <v>1.3464977632183794E-2</v>
      </c>
      <c r="AD100" s="33">
        <f t="shared" si="81"/>
        <v>0.87476204770851429</v>
      </c>
      <c r="AE100" s="33">
        <f t="shared" si="65"/>
        <v>50.120173411919431</v>
      </c>
      <c r="AF100" s="33">
        <f t="shared" si="66"/>
        <v>-2.097421711349523E-3</v>
      </c>
      <c r="AG100" s="33">
        <f t="shared" si="82"/>
        <v>5.483755434480235E-2</v>
      </c>
      <c r="AH100" s="33">
        <f t="shared" si="83"/>
        <v>2.0325357323325299E-3</v>
      </c>
      <c r="AI100" s="35">
        <f t="shared" si="49"/>
        <v>-0.10549042794556732</v>
      </c>
      <c r="AJ100" s="33">
        <f t="shared" si="67"/>
        <v>-6.0441563003099228</v>
      </c>
      <c r="AK100" s="37">
        <f t="shared" si="84"/>
        <v>-2.0130282020671686E-3</v>
      </c>
      <c r="AM100" s="41">
        <f t="shared" si="68"/>
        <v>-0.15596022608636928</v>
      </c>
      <c r="AN100" s="41">
        <f t="shared" si="69"/>
        <v>-8.9358627266550847</v>
      </c>
      <c r="AO100" s="42">
        <f t="shared" si="70"/>
        <v>0.15596022608636928</v>
      </c>
      <c r="AP100" s="41">
        <f t="shared" si="85"/>
        <v>-0.42539028410498991</v>
      </c>
      <c r="AQ100" s="41">
        <f t="shared" si="86"/>
        <v>0.1739891369468588</v>
      </c>
      <c r="AR100" s="43">
        <f t="shared" si="50"/>
        <v>1.7335913978105517</v>
      </c>
      <c r="AS100" s="41">
        <f t="shared" si="51"/>
        <v>99.327470494729553</v>
      </c>
      <c r="AU100" s="48">
        <f t="shared" si="87"/>
        <v>-0.15550365590931797</v>
      </c>
      <c r="AV100" s="48">
        <f t="shared" si="71"/>
        <v>-8.9097031824585038</v>
      </c>
      <c r="AW100" s="49">
        <f t="shared" si="72"/>
        <v>1.8890950537198696</v>
      </c>
      <c r="AX100" s="48">
        <f t="shared" si="88"/>
        <v>-1.8460322499248705</v>
      </c>
      <c r="AY100" s="48">
        <f t="shared" si="89"/>
        <v>-2.0669660108458388</v>
      </c>
      <c r="AZ100" s="50">
        <f t="shared" si="73"/>
        <v>-7.5790777535769127E-2</v>
      </c>
      <c r="BA100" s="48">
        <f t="shared" si="74"/>
        <v>-4.3424916788145005</v>
      </c>
      <c r="BB100" s="52">
        <f t="shared" si="90"/>
        <v>1.7444938335413847</v>
      </c>
      <c r="BC100" s="44">
        <f t="shared" si="75"/>
        <v>-0.15550365590931797</v>
      </c>
    </row>
    <row r="101" spans="4:55" x14ac:dyDescent="0.3">
      <c r="D101">
        <f t="shared" si="76"/>
        <v>0.99000000000000066</v>
      </c>
      <c r="F101" s="5">
        <f t="shared" si="52"/>
        <v>0.77642724982487366</v>
      </c>
      <c r="G101" s="6">
        <f t="shared" si="53"/>
        <v>44.48600451391485</v>
      </c>
      <c r="I101" s="9">
        <f t="shared" si="54"/>
        <v>0.77879589003852889</v>
      </c>
      <c r="J101" s="9">
        <f t="shared" si="55"/>
        <v>44.621717601342255</v>
      </c>
      <c r="K101" s="9">
        <f t="shared" si="56"/>
        <v>-6.0359012715033646</v>
      </c>
      <c r="L101" s="9">
        <f t="shared" si="57"/>
        <v>-0.1053463505130459</v>
      </c>
      <c r="M101" s="11">
        <f t="shared" si="47"/>
        <v>0.20904600792516659</v>
      </c>
      <c r="O101" s="15">
        <f t="shared" si="58"/>
        <v>0.8679412627052121</v>
      </c>
      <c r="P101" s="15">
        <f t="shared" si="59"/>
        <v>49.729371218264092</v>
      </c>
      <c r="Q101" s="15">
        <v>-6.0359012715033602</v>
      </c>
      <c r="R101" s="15">
        <f t="shared" si="60"/>
        <v>-0.10534635051304582</v>
      </c>
      <c r="S101" s="16">
        <f t="shared" si="48"/>
        <v>1.0518946804588092E-2</v>
      </c>
      <c r="U101" s="23">
        <f t="shared" si="77"/>
        <v>0.85876979700138178</v>
      </c>
      <c r="V101" s="23">
        <f t="shared" si="61"/>
        <v>49.203884941485633</v>
      </c>
      <c r="W101" s="23">
        <f t="shared" si="62"/>
        <v>1.3894828995782982E-2</v>
      </c>
      <c r="X101" s="23">
        <f t="shared" si="78"/>
        <v>3.8334772468492172E-2</v>
      </c>
      <c r="Y101" s="23">
        <f t="shared" si="79"/>
        <v>-1.3464977632182684E-2</v>
      </c>
      <c r="Z101" s="26">
        <f t="shared" si="63"/>
        <v>-0.10439187804038939</v>
      </c>
      <c r="AA101" s="23">
        <f t="shared" si="64"/>
        <v>-5.9812140271587309</v>
      </c>
      <c r="AB101" s="24">
        <f t="shared" si="80"/>
        <v>1.3335745730143067E-2</v>
      </c>
      <c r="AD101" s="33">
        <f t="shared" si="81"/>
        <v>0.87474191742649365</v>
      </c>
      <c r="AE101" s="33">
        <f t="shared" si="65"/>
        <v>50.119020031719245</v>
      </c>
      <c r="AF101" s="33">
        <f t="shared" si="66"/>
        <v>-2.0772914293288869E-3</v>
      </c>
      <c r="AG101" s="33">
        <f t="shared" si="82"/>
        <v>5.4816781430509061E-2</v>
      </c>
      <c r="AH101" s="33">
        <f t="shared" si="83"/>
        <v>2.0130282020636159E-3</v>
      </c>
      <c r="AI101" s="35">
        <f t="shared" si="49"/>
        <v>-0.10548904514337067</v>
      </c>
      <c r="AJ101" s="33">
        <f t="shared" si="67"/>
        <v>-6.0440770715801531</v>
      </c>
      <c r="AK101" s="37">
        <f t="shared" si="84"/>
        <v>-1.993707897905983E-3</v>
      </c>
      <c r="AM101" s="41">
        <f t="shared" si="68"/>
        <v>-0.15751526264546245</v>
      </c>
      <c r="AN101" s="41">
        <f t="shared" si="69"/>
        <v>-9.0249597584796692</v>
      </c>
      <c r="AO101" s="42">
        <f t="shared" si="70"/>
        <v>0.15751526264546245</v>
      </c>
      <c r="AP101" s="41">
        <f t="shared" si="85"/>
        <v>-0.42381513147853528</v>
      </c>
      <c r="AQ101" s="41">
        <f t="shared" si="86"/>
        <v>0.15550365590931703</v>
      </c>
      <c r="AR101" s="43">
        <f t="shared" si="50"/>
        <v>1.7306562823639415</v>
      </c>
      <c r="AS101" s="41">
        <f t="shared" si="51"/>
        <v>99.159300767255132</v>
      </c>
      <c r="AU101" s="48">
        <f t="shared" si="87"/>
        <v>-0.13805871757390412</v>
      </c>
      <c r="AV101" s="48">
        <f t="shared" si="71"/>
        <v>-7.9101818419733139</v>
      </c>
      <c r="AW101" s="49">
        <f t="shared" si="72"/>
        <v>1.8687149999378456</v>
      </c>
      <c r="AX101" s="48">
        <f t="shared" si="88"/>
        <v>-1.8273450999254921</v>
      </c>
      <c r="AY101" s="48">
        <f t="shared" si="89"/>
        <v>-2.038005378202401</v>
      </c>
      <c r="AZ101" s="50">
        <f t="shared" si="73"/>
        <v>-7.2549773133695039E-2</v>
      </c>
      <c r="BA101" s="48">
        <f t="shared" si="74"/>
        <v>-4.1567958051923348</v>
      </c>
      <c r="BB101" s="52">
        <f t="shared" si="90"/>
        <v>1.6458539142169322</v>
      </c>
      <c r="BC101" s="44">
        <f t="shared" si="75"/>
        <v>-0.13805871757390412</v>
      </c>
    </row>
    <row r="102" spans="4:55" x14ac:dyDescent="0.3">
      <c r="D102">
        <f t="shared" si="76"/>
        <v>1.0000000000000007</v>
      </c>
      <c r="F102" s="5">
        <f t="shared" si="52"/>
        <v>0.77854677110058801</v>
      </c>
      <c r="G102" s="6">
        <f t="shared" si="53"/>
        <v>44.607444137601462</v>
      </c>
      <c r="I102" s="9">
        <f t="shared" si="54"/>
        <v>0.78088635011778051</v>
      </c>
      <c r="J102" s="9">
        <f t="shared" si="55"/>
        <v>44.741492141123956</v>
      </c>
      <c r="K102" s="9">
        <f t="shared" si="56"/>
        <v>-6.0359012715033646</v>
      </c>
      <c r="L102" s="9">
        <f t="shared" si="57"/>
        <v>-0.1053463505130459</v>
      </c>
      <c r="M102" s="11">
        <f t="shared" si="47"/>
        <v>0.20439054591396988</v>
      </c>
      <c r="O102" s="15">
        <f t="shared" si="58"/>
        <v>0.86804645217325793</v>
      </c>
      <c r="P102" s="15">
        <f t="shared" si="59"/>
        <v>49.735398130832344</v>
      </c>
      <c r="Q102" s="15">
        <v>-6.0359012715033602</v>
      </c>
      <c r="R102" s="15">
        <f t="shared" si="60"/>
        <v>-0.10534635051304582</v>
      </c>
      <c r="S102" s="16">
        <f t="shared" si="48"/>
        <v>1.0284689486151244E-2</v>
      </c>
      <c r="U102" s="23">
        <f t="shared" si="77"/>
        <v>0.85890315445868326</v>
      </c>
      <c r="V102" s="23">
        <f t="shared" si="61"/>
        <v>49.21152576095561</v>
      </c>
      <c r="W102" s="23">
        <f t="shared" si="62"/>
        <v>1.3761471538481507E-2</v>
      </c>
      <c r="X102" s="23">
        <f t="shared" si="78"/>
        <v>3.8472387183876987E-2</v>
      </c>
      <c r="Y102" s="23">
        <f t="shared" si="79"/>
        <v>-1.3335745730147508E-2</v>
      </c>
      <c r="Z102" s="26">
        <f t="shared" si="63"/>
        <v>-0.10440103871606625</v>
      </c>
      <c r="AA102" s="23">
        <f t="shared" si="64"/>
        <v>-5.9817388952125032</v>
      </c>
      <c r="AB102" s="24">
        <f t="shared" si="80"/>
        <v>1.3207754148355955E-2</v>
      </c>
      <c r="AD102" s="33">
        <f t="shared" si="81"/>
        <v>0.87472198034751458</v>
      </c>
      <c r="AE102" s="33">
        <f t="shared" si="65"/>
        <v>50.117877721237925</v>
      </c>
      <c r="AF102" s="33">
        <f t="shared" si="66"/>
        <v>-2.057354350349816E-3</v>
      </c>
      <c r="AG102" s="33">
        <f t="shared" si="82"/>
        <v>5.4796207887005566E-2</v>
      </c>
      <c r="AH102" s="33">
        <f t="shared" si="83"/>
        <v>1.9937078979070932E-3</v>
      </c>
      <c r="AI102" s="35">
        <f t="shared" si="49"/>
        <v>-0.10548767561280104</v>
      </c>
      <c r="AJ102" s="33">
        <f t="shared" si="67"/>
        <v>-6.0439986032585997</v>
      </c>
      <c r="AK102" s="37">
        <f t="shared" si="84"/>
        <v>-1.9745730229128178E-3</v>
      </c>
      <c r="AM102" s="41">
        <f t="shared" si="68"/>
        <v>-0.1588958498212015</v>
      </c>
      <c r="AN102" s="41">
        <f t="shared" si="69"/>
        <v>-9.1040615768994027</v>
      </c>
      <c r="AO102" s="42">
        <f t="shared" si="70"/>
        <v>0.1588958498212015</v>
      </c>
      <c r="AP102" s="41">
        <f t="shared" si="85"/>
        <v>-0.42222617298032328</v>
      </c>
      <c r="AQ102" s="41">
        <f t="shared" si="86"/>
        <v>0.13805871757390509</v>
      </c>
      <c r="AR102" s="43">
        <f t="shared" si="50"/>
        <v>1.7270172157859203</v>
      </c>
      <c r="AS102" s="41">
        <f t="shared" si="51"/>
        <v>98.950797610967399</v>
      </c>
      <c r="AU102" s="48">
        <f t="shared" si="87"/>
        <v>-0.12160017843173479</v>
      </c>
      <c r="AV102" s="48">
        <f t="shared" si="71"/>
        <v>-6.9671770121761449</v>
      </c>
      <c r="AW102" s="49">
        <f t="shared" si="72"/>
        <v>1.8486173942176551</v>
      </c>
      <c r="AX102" s="48">
        <f t="shared" si="88"/>
        <v>-1.8088589259833157</v>
      </c>
      <c r="AY102" s="48">
        <f t="shared" si="89"/>
        <v>-2.0097605720190481</v>
      </c>
      <c r="AZ102" s="50">
        <f t="shared" si="73"/>
        <v>-6.9468133608583726E-2</v>
      </c>
      <c r="BA102" s="48">
        <f t="shared" si="74"/>
        <v>-3.9802308664227573</v>
      </c>
      <c r="BB102" s="52">
        <f t="shared" si="90"/>
        <v>1.5523506692305644</v>
      </c>
      <c r="BC102" s="44">
        <f t="shared" si="75"/>
        <v>-0.12160017843173479</v>
      </c>
    </row>
    <row r="103" spans="4:55" x14ac:dyDescent="0.3">
      <c r="D103">
        <f t="shared" si="76"/>
        <v>1.0100000000000007</v>
      </c>
      <c r="F103" s="5">
        <f t="shared" si="52"/>
        <v>0.78061961227531795</v>
      </c>
      <c r="G103" s="6">
        <f t="shared" si="53"/>
        <v>44.726209188514432</v>
      </c>
      <c r="I103" s="9">
        <f t="shared" si="54"/>
        <v>0.7829302555769202</v>
      </c>
      <c r="J103" s="9">
        <f t="shared" si="55"/>
        <v>44.858599297656411</v>
      </c>
      <c r="K103" s="9">
        <f t="shared" si="56"/>
        <v>-6.0359012715033646</v>
      </c>
      <c r="L103" s="9">
        <f t="shared" si="57"/>
        <v>-0.1053463505130459</v>
      </c>
      <c r="M103" s="11">
        <f t="shared" si="47"/>
        <v>0.19983876120688793</v>
      </c>
      <c r="O103" s="15">
        <f t="shared" si="58"/>
        <v>0.86814929906811944</v>
      </c>
      <c r="P103" s="15">
        <f t="shared" si="59"/>
        <v>49.741290823843933</v>
      </c>
      <c r="Q103" s="15">
        <v>-6.0359012715033602</v>
      </c>
      <c r="R103" s="15">
        <f t="shared" si="60"/>
        <v>-0.10534635051304582</v>
      </c>
      <c r="S103" s="16">
        <f t="shared" si="48"/>
        <v>1.005564908650447E-2</v>
      </c>
      <c r="U103" s="23">
        <f t="shared" si="77"/>
        <v>0.85903523200016685</v>
      </c>
      <c r="V103" s="23">
        <f t="shared" si="61"/>
        <v>49.219093246651077</v>
      </c>
      <c r="W103" s="23">
        <f t="shared" si="62"/>
        <v>1.3629393996997918E-2</v>
      </c>
      <c r="X103" s="23">
        <f t="shared" si="78"/>
        <v>3.8608681123846966E-2</v>
      </c>
      <c r="Y103" s="23">
        <f t="shared" si="79"/>
        <v>-1.3207754148358841E-2</v>
      </c>
      <c r="Z103" s="26">
        <f t="shared" si="63"/>
        <v>-0.10441011147094797</v>
      </c>
      <c r="AA103" s="23">
        <f t="shared" si="64"/>
        <v>-5.9822587257757824</v>
      </c>
      <c r="AB103" s="24">
        <f t="shared" si="80"/>
        <v>1.3080990982690555E-2</v>
      </c>
      <c r="AD103" s="33">
        <f t="shared" si="81"/>
        <v>0.87470223461728547</v>
      </c>
      <c r="AE103" s="33">
        <f t="shared" si="65"/>
        <v>50.116746374232392</v>
      </c>
      <c r="AF103" s="33">
        <f t="shared" si="66"/>
        <v>-2.0376086201207011E-3</v>
      </c>
      <c r="AG103" s="33">
        <f t="shared" si="82"/>
        <v>5.4775831800804357E-2</v>
      </c>
      <c r="AH103" s="33">
        <f t="shared" si="83"/>
        <v>1.9745730229114855E-3</v>
      </c>
      <c r="AI103" s="35">
        <f t="shared" si="49"/>
        <v>-0.10548631922648187</v>
      </c>
      <c r="AJ103" s="33">
        <f t="shared" si="67"/>
        <v>-6.043920888047122</v>
      </c>
      <c r="AK103" s="37">
        <f t="shared" si="84"/>
        <v>-1.955621797413265E-3</v>
      </c>
      <c r="AM103" s="41">
        <f t="shared" si="68"/>
        <v>-0.16011185160551886</v>
      </c>
      <c r="AN103" s="41">
        <f t="shared" si="69"/>
        <v>-9.1737333470211642</v>
      </c>
      <c r="AO103" s="42">
        <f t="shared" si="70"/>
        <v>0.16011185160551886</v>
      </c>
      <c r="AP103" s="41">
        <f t="shared" si="85"/>
        <v>-0.42062505446426807</v>
      </c>
      <c r="AQ103" s="41">
        <f t="shared" si="86"/>
        <v>0.12160017843173554</v>
      </c>
      <c r="AR103" s="43">
        <f t="shared" si="50"/>
        <v>1.7227186944869242</v>
      </c>
      <c r="AS103" s="41">
        <f t="shared" si="51"/>
        <v>98.704510482387832</v>
      </c>
      <c r="AU103" s="48">
        <f t="shared" si="87"/>
        <v>-0.10607667173942914</v>
      </c>
      <c r="AV103" s="48">
        <f t="shared" si="71"/>
        <v>-6.0777455954639423</v>
      </c>
      <c r="AW103" s="49">
        <f t="shared" si="72"/>
        <v>1.8287953662263532</v>
      </c>
      <c r="AX103" s="48">
        <f t="shared" si="88"/>
        <v>-1.7905709723210521</v>
      </c>
      <c r="AY103" s="48">
        <f t="shared" si="89"/>
        <v>-1.9822027991301949</v>
      </c>
      <c r="AZ103" s="50">
        <f t="shared" si="73"/>
        <v>-6.6537773814951184E-2</v>
      </c>
      <c r="BA103" s="48">
        <f t="shared" si="74"/>
        <v>-3.8123336177927856</v>
      </c>
      <c r="BB103" s="52">
        <f t="shared" si="90"/>
        <v>1.4637205500719026</v>
      </c>
      <c r="BC103" s="44">
        <f t="shared" si="75"/>
        <v>-0.10607667173942914</v>
      </c>
    </row>
    <row r="104" spans="4:55" x14ac:dyDescent="0.3">
      <c r="D104">
        <f t="shared" si="76"/>
        <v>1.0200000000000007</v>
      </c>
      <c r="F104" s="5">
        <f t="shared" si="52"/>
        <v>0.78264680142641874</v>
      </c>
      <c r="G104" s="6">
        <f t="shared" si="53"/>
        <v>44.842358571147209</v>
      </c>
      <c r="I104" s="9">
        <f t="shared" si="54"/>
        <v>0.78492864318898903</v>
      </c>
      <c r="J104" s="9">
        <f t="shared" si="55"/>
        <v>44.973098473659185</v>
      </c>
      <c r="K104" s="9">
        <f t="shared" si="56"/>
        <v>-6.0359012715033646</v>
      </c>
      <c r="L104" s="9">
        <f t="shared" si="57"/>
        <v>-0.1053463505130459</v>
      </c>
      <c r="M104" s="11">
        <f t="shared" si="47"/>
        <v>0.19538834490668155</v>
      </c>
      <c r="O104" s="15">
        <f t="shared" si="58"/>
        <v>0.86824985555898448</v>
      </c>
      <c r="P104" s="15">
        <f t="shared" si="59"/>
        <v>49.747052286373147</v>
      </c>
      <c r="Q104" s="15">
        <v>-6.0359012715033602</v>
      </c>
      <c r="R104" s="15">
        <f t="shared" si="60"/>
        <v>-0.10534635051304582</v>
      </c>
      <c r="S104" s="16">
        <f t="shared" si="48"/>
        <v>9.8317094246818115E-3</v>
      </c>
      <c r="U104" s="23">
        <f t="shared" si="77"/>
        <v>0.85916604190999379</v>
      </c>
      <c r="V104" s="23">
        <f t="shared" si="61"/>
        <v>49.226588102402651</v>
      </c>
      <c r="W104" s="23">
        <f t="shared" si="62"/>
        <v>1.3498584087170973E-2</v>
      </c>
      <c r="X104" s="23">
        <f t="shared" si="78"/>
        <v>3.8743666964718676E-2</v>
      </c>
      <c r="Y104" s="23">
        <f t="shared" si="79"/>
        <v>-1.3080990982694551E-2</v>
      </c>
      <c r="Z104" s="26">
        <f t="shared" si="63"/>
        <v>-0.10441909714886582</v>
      </c>
      <c r="AA104" s="23">
        <f t="shared" si="64"/>
        <v>-5.9827735671965394</v>
      </c>
      <c r="AB104" s="24">
        <f t="shared" si="80"/>
        <v>1.295544444325647E-2</v>
      </c>
      <c r="AD104" s="33">
        <f t="shared" si="81"/>
        <v>0.87468267839931135</v>
      </c>
      <c r="AE104" s="33">
        <f t="shared" si="65"/>
        <v>50.11562588547924</v>
      </c>
      <c r="AF104" s="33">
        <f t="shared" si="66"/>
        <v>-2.0180524021465862E-3</v>
      </c>
      <c r="AG104" s="33">
        <f t="shared" si="82"/>
        <v>5.4755651276782891E-2</v>
      </c>
      <c r="AH104" s="33">
        <f t="shared" si="83"/>
        <v>1.9556217974114887E-3</v>
      </c>
      <c r="AI104" s="35">
        <f t="shared" si="49"/>
        <v>-0.10548497585825967</v>
      </c>
      <c r="AJ104" s="33">
        <f t="shared" si="67"/>
        <v>-6.0438439187176574</v>
      </c>
      <c r="AK104" s="37">
        <f t="shared" si="84"/>
        <v>-1.9368524588041502E-3</v>
      </c>
      <c r="AM104" s="41">
        <f t="shared" si="68"/>
        <v>-0.16117261832291316</v>
      </c>
      <c r="AN104" s="41">
        <f t="shared" si="69"/>
        <v>-9.2345108029758052</v>
      </c>
      <c r="AO104" s="42">
        <f t="shared" si="70"/>
        <v>0.16117261832291316</v>
      </c>
      <c r="AP104" s="41">
        <f t="shared" si="85"/>
        <v>-0.41901332828103893</v>
      </c>
      <c r="AQ104" s="41">
        <f t="shared" si="86"/>
        <v>0.10607667173943014</v>
      </c>
      <c r="AR104" s="43">
        <f t="shared" si="50"/>
        <v>1.7178028549685618</v>
      </c>
      <c r="AS104" s="41">
        <f t="shared" si="51"/>
        <v>98.422853625222047</v>
      </c>
      <c r="AU104" s="48">
        <f t="shared" si="87"/>
        <v>-9.1439466238710118E-2</v>
      </c>
      <c r="AV104" s="48">
        <f t="shared" si="71"/>
        <v>-5.23909549640707</v>
      </c>
      <c r="AW104" s="49">
        <f t="shared" si="72"/>
        <v>1.8092423212072719</v>
      </c>
      <c r="AX104" s="48">
        <f t="shared" si="88"/>
        <v>-1.7724785491089794</v>
      </c>
      <c r="AY104" s="48">
        <f t="shared" si="89"/>
        <v>-1.9553045019081283</v>
      </c>
      <c r="AZ104" s="50">
        <f t="shared" si="73"/>
        <v>-6.3751021687044385E-2</v>
      </c>
      <c r="BA104" s="48">
        <f t="shared" si="74"/>
        <v>-3.6526644823146244</v>
      </c>
      <c r="BB104" s="52">
        <f t="shared" si="90"/>
        <v>1.3797134979512684</v>
      </c>
      <c r="BC104" s="44">
        <f t="shared" si="75"/>
        <v>-9.1439466238710118E-2</v>
      </c>
    </row>
    <row r="105" spans="4:55" x14ac:dyDescent="0.3">
      <c r="D105">
        <f t="shared" si="76"/>
        <v>1.0300000000000007</v>
      </c>
      <c r="F105" s="5">
        <f t="shared" si="52"/>
        <v>0.78462934398898465</v>
      </c>
      <c r="G105" s="6">
        <f t="shared" si="53"/>
        <v>44.955949892687286</v>
      </c>
      <c r="I105" s="9">
        <f t="shared" si="54"/>
        <v>0.7868825266380558</v>
      </c>
      <c r="J105" s="9">
        <f t="shared" si="55"/>
        <v>45.085047748951176</v>
      </c>
      <c r="K105" s="9">
        <f t="shared" si="56"/>
        <v>-6.0359012715033646</v>
      </c>
      <c r="L105" s="9">
        <f t="shared" si="57"/>
        <v>-0.1053463505130459</v>
      </c>
      <c r="M105" s="11">
        <f t="shared" si="47"/>
        <v>0.19103703953533335</v>
      </c>
      <c r="O105" s="15">
        <f t="shared" si="58"/>
        <v>0.86834817265323128</v>
      </c>
      <c r="P105" s="15">
        <f t="shared" si="59"/>
        <v>49.752685440927479</v>
      </c>
      <c r="Q105" s="15">
        <v>-6.0359012715033602</v>
      </c>
      <c r="R105" s="15">
        <f t="shared" si="60"/>
        <v>-0.10534635051304582</v>
      </c>
      <c r="S105" s="16">
        <f t="shared" si="48"/>
        <v>9.612756907070974E-3</v>
      </c>
      <c r="U105" s="23">
        <f t="shared" si="77"/>
        <v>0.85929559635442632</v>
      </c>
      <c r="V105" s="23">
        <f t="shared" si="61"/>
        <v>49.234011025285795</v>
      </c>
      <c r="W105" s="23">
        <f t="shared" si="62"/>
        <v>1.336902964273845E-2</v>
      </c>
      <c r="X105" s="23">
        <f t="shared" si="78"/>
        <v>3.8877357261146057E-2</v>
      </c>
      <c r="Y105" s="23">
        <f t="shared" si="79"/>
        <v>-1.2955444443252251E-2</v>
      </c>
      <c r="Z105" s="26">
        <f t="shared" si="63"/>
        <v>-0.10442799658555275</v>
      </c>
      <c r="AA105" s="23">
        <f t="shared" si="64"/>
        <v>-5.9832834673587438</v>
      </c>
      <c r="AB105" s="24">
        <f t="shared" si="80"/>
        <v>1.2831102853328114E-2</v>
      </c>
      <c r="AD105" s="33">
        <f t="shared" si="81"/>
        <v>0.87466330987472329</v>
      </c>
      <c r="AE105" s="33">
        <f t="shared" si="65"/>
        <v>50.114516150764949</v>
      </c>
      <c r="AF105" s="33">
        <f t="shared" si="66"/>
        <v>-1.9986838775585269E-3</v>
      </c>
      <c r="AG105" s="33">
        <f t="shared" si="82"/>
        <v>5.4735664438007307E-2</v>
      </c>
      <c r="AH105" s="33">
        <f t="shared" si="83"/>
        <v>1.9368524588059266E-3</v>
      </c>
      <c r="AI105" s="35">
        <f t="shared" si="49"/>
        <v>-0.10548364538319159</v>
      </c>
      <c r="AJ105" s="33">
        <f t="shared" si="67"/>
        <v>-6.0437676881115099</v>
      </c>
      <c r="AK105" s="37">
        <f t="shared" si="84"/>
        <v>-1.9182632614003214E-3</v>
      </c>
      <c r="AM105" s="41">
        <f t="shared" si="68"/>
        <v>-0.16208701298530026</v>
      </c>
      <c r="AN105" s="41">
        <f t="shared" si="69"/>
        <v>-9.2869017579398747</v>
      </c>
      <c r="AO105" s="42">
        <f t="shared" si="70"/>
        <v>0.16208701298530026</v>
      </c>
      <c r="AP105" s="41">
        <f t="shared" si="85"/>
        <v>-0.41739245815118592</v>
      </c>
      <c r="AQ105" s="41">
        <f t="shared" si="86"/>
        <v>9.1439466238710243E-2</v>
      </c>
      <c r="AR105" s="43">
        <f t="shared" si="50"/>
        <v>1.7123095960917127</v>
      </c>
      <c r="AS105" s="41">
        <f t="shared" si="51"/>
        <v>98.108113075805818</v>
      </c>
      <c r="AU105" s="48">
        <f t="shared" si="87"/>
        <v>-7.7642331259197436E-2</v>
      </c>
      <c r="AV105" s="48">
        <f t="shared" si="71"/>
        <v>-4.4485778927086761</v>
      </c>
      <c r="AW105" s="49">
        <f t="shared" si="72"/>
        <v>1.7899519273509101</v>
      </c>
      <c r="AX105" s="48">
        <f t="shared" si="88"/>
        <v>-1.7545790298354702</v>
      </c>
      <c r="AY105" s="48">
        <f t="shared" si="89"/>
        <v>-1.9290393856361776</v>
      </c>
      <c r="AZ105" s="50">
        <f t="shared" si="73"/>
        <v>-6.1100598102698966E-2</v>
      </c>
      <c r="BA105" s="48">
        <f t="shared" si="74"/>
        <v>-3.5008063970096961</v>
      </c>
      <c r="BB105" s="52">
        <f t="shared" si="90"/>
        <v>1.3000922719120047</v>
      </c>
      <c r="BC105" s="44">
        <f t="shared" si="75"/>
        <v>-7.7642331259197436E-2</v>
      </c>
    </row>
    <row r="106" spans="4:55" x14ac:dyDescent="0.3">
      <c r="D106">
        <f t="shared" si="76"/>
        <v>1.0400000000000007</v>
      </c>
      <c r="F106" s="5">
        <f t="shared" si="52"/>
        <v>0.78656822325451869</v>
      </c>
      <c r="G106" s="6">
        <f t="shared" si="53"/>
        <v>45.067039491587813</v>
      </c>
      <c r="I106" s="9">
        <f t="shared" si="54"/>
        <v>0.78879289703340916</v>
      </c>
      <c r="J106" s="9">
        <f t="shared" si="55"/>
        <v>45.19450390991166</v>
      </c>
      <c r="K106" s="9">
        <f t="shared" si="56"/>
        <v>-6.0359012715033646</v>
      </c>
      <c r="L106" s="9">
        <f t="shared" si="57"/>
        <v>-0.1053463505130459</v>
      </c>
      <c r="M106" s="11">
        <f t="shared" si="47"/>
        <v>0.18678263788894256</v>
      </c>
      <c r="O106" s="15">
        <f t="shared" si="58"/>
        <v>0.86844430022230201</v>
      </c>
      <c r="P106" s="15">
        <f t="shared" si="59"/>
        <v>49.758193144930082</v>
      </c>
      <c r="Q106" s="15">
        <v>-6.0359012715033602</v>
      </c>
      <c r="R106" s="15">
        <f t="shared" si="60"/>
        <v>-0.10534635051304582</v>
      </c>
      <c r="S106" s="16">
        <f t="shared" si="48"/>
        <v>9.3986804697931969E-3</v>
      </c>
      <c r="U106" s="23">
        <f t="shared" si="77"/>
        <v>0.8594239073829596</v>
      </c>
      <c r="V106" s="23">
        <f t="shared" si="61"/>
        <v>49.241362705685738</v>
      </c>
      <c r="W106" s="23">
        <f t="shared" si="62"/>
        <v>1.3240718614205171E-2</v>
      </c>
      <c r="X106" s="23">
        <f t="shared" si="78"/>
        <v>3.9009764447288112E-2</v>
      </c>
      <c r="Y106" s="23">
        <f t="shared" si="79"/>
        <v>-1.2831102853327891E-2</v>
      </c>
      <c r="Z106" s="26">
        <f t="shared" si="63"/>
        <v>-0.10443681060871993</v>
      </c>
      <c r="AA106" s="23">
        <f t="shared" si="64"/>
        <v>-5.9837884736867535</v>
      </c>
      <c r="AB106" s="24">
        <f t="shared" si="80"/>
        <v>1.2707954648235376E-2</v>
      </c>
      <c r="AD106" s="33">
        <f t="shared" si="81"/>
        <v>0.87464412724210927</v>
      </c>
      <c r="AE106" s="33">
        <f t="shared" si="65"/>
        <v>50.11341706687621</v>
      </c>
      <c r="AF106" s="33">
        <f t="shared" si="66"/>
        <v>-1.9795012449445037E-3</v>
      </c>
      <c r="AG106" s="33">
        <f t="shared" si="82"/>
        <v>5.471586942555786E-2</v>
      </c>
      <c r="AH106" s="33">
        <f t="shared" si="83"/>
        <v>1.9182632614023198E-3</v>
      </c>
      <c r="AI106" s="35">
        <f t="shared" si="49"/>
        <v>-0.10548232767753372</v>
      </c>
      <c r="AJ106" s="33">
        <f t="shared" si="67"/>
        <v>-6.0436921891386737</v>
      </c>
      <c r="AK106" s="37">
        <f t="shared" si="84"/>
        <v>-1.8998524762756652E-3</v>
      </c>
      <c r="AM106" s="41">
        <f t="shared" si="68"/>
        <v>-0.16286343629789224</v>
      </c>
      <c r="AN106" s="41">
        <f t="shared" si="69"/>
        <v>-9.3313875368669628</v>
      </c>
      <c r="AO106" s="42">
        <f t="shared" si="70"/>
        <v>0.16286343629789224</v>
      </c>
      <c r="AP106" s="41">
        <f t="shared" si="85"/>
        <v>-0.41576382378820698</v>
      </c>
      <c r="AQ106" s="41">
        <f t="shared" si="86"/>
        <v>7.7642331259197839E-2</v>
      </c>
      <c r="AR106" s="43">
        <f t="shared" si="50"/>
        <v>1.7062766942381202</v>
      </c>
      <c r="AS106" s="41">
        <f t="shared" si="51"/>
        <v>97.762453261378326</v>
      </c>
      <c r="AU106" s="48">
        <f t="shared" si="87"/>
        <v>-6.4641408540077383E-2</v>
      </c>
      <c r="AV106" s="48">
        <f t="shared" si="71"/>
        <v>-3.7036798911273503</v>
      </c>
      <c r="AW106" s="49">
        <f t="shared" si="72"/>
        <v>1.7709181027781975</v>
      </c>
      <c r="AX106" s="48">
        <f t="shared" si="88"/>
        <v>-1.7368698488076881</v>
      </c>
      <c r="AY106" s="48">
        <f t="shared" si="89"/>
        <v>-1.9033824572712632</v>
      </c>
      <c r="AZ106" s="50">
        <f t="shared" si="73"/>
        <v>-5.857959565466242E-2</v>
      </c>
      <c r="BA106" s="48">
        <f t="shared" si="74"/>
        <v>-3.3563635965950533</v>
      </c>
      <c r="BB106" s="52">
        <f t="shared" si="90"/>
        <v>1.2246317717507045</v>
      </c>
      <c r="BC106" s="44">
        <f t="shared" si="75"/>
        <v>-6.4641408540077383E-2</v>
      </c>
    </row>
    <row r="107" spans="4:55" x14ac:dyDescent="0.3">
      <c r="D107">
        <f t="shared" si="76"/>
        <v>1.0500000000000007</v>
      </c>
      <c r="F107" s="5">
        <f t="shared" si="52"/>
        <v>0.78846440085862146</v>
      </c>
      <c r="G107" s="6">
        <f t="shared" si="53"/>
        <v>45.175682465510128</v>
      </c>
      <c r="I107" s="9">
        <f t="shared" si="54"/>
        <v>0.79066072341229854</v>
      </c>
      <c r="J107" s="9">
        <f t="shared" si="55"/>
        <v>45.301522478285221</v>
      </c>
      <c r="K107" s="9">
        <f t="shared" si="56"/>
        <v>-6.0359012715033646</v>
      </c>
      <c r="L107" s="9">
        <f t="shared" si="57"/>
        <v>-0.1053463505130459</v>
      </c>
      <c r="M107" s="11">
        <f t="shared" si="47"/>
        <v>0.18262298191811754</v>
      </c>
      <c r="O107" s="15">
        <f t="shared" si="58"/>
        <v>0.86853828702699998</v>
      </c>
      <c r="P107" s="15">
        <f t="shared" si="59"/>
        <v>49.763578192169199</v>
      </c>
      <c r="Q107" s="15">
        <v>-6.0359012715033602</v>
      </c>
      <c r="R107" s="15">
        <f t="shared" si="60"/>
        <v>-0.10534635051304582</v>
      </c>
      <c r="S107" s="16">
        <f t="shared" si="48"/>
        <v>9.1893715223669847E-3</v>
      </c>
      <c r="U107" s="23">
        <f t="shared" si="77"/>
        <v>0.85955098692944198</v>
      </c>
      <c r="V107" s="23">
        <f t="shared" si="61"/>
        <v>49.248643827361612</v>
      </c>
      <c r="W107" s="23">
        <f t="shared" si="62"/>
        <v>1.3113639067722782E-2</v>
      </c>
      <c r="X107" s="23">
        <f t="shared" si="78"/>
        <v>3.9140900837965342E-2</v>
      </c>
      <c r="Y107" s="23">
        <f t="shared" si="79"/>
        <v>-1.2707954648238928E-2</v>
      </c>
      <c r="Z107" s="26">
        <f t="shared" si="63"/>
        <v>-0.10444554003813505</v>
      </c>
      <c r="AA107" s="23">
        <f t="shared" si="64"/>
        <v>-5.9842886331497978</v>
      </c>
      <c r="AB107" s="24">
        <f t="shared" si="80"/>
        <v>1.2585988374312684E-2</v>
      </c>
      <c r="AD107" s="33">
        <f t="shared" si="81"/>
        <v>0.87462512871734654</v>
      </c>
      <c r="AE107" s="33">
        <f t="shared" si="65"/>
        <v>50.112328531590336</v>
      </c>
      <c r="AF107" s="33">
        <f t="shared" si="66"/>
        <v>-1.9605027201817782E-3</v>
      </c>
      <c r="AG107" s="33">
        <f t="shared" si="82"/>
        <v>5.4696264398356044E-2</v>
      </c>
      <c r="AH107" s="33">
        <f t="shared" si="83"/>
        <v>1.8998524762725566E-3</v>
      </c>
      <c r="AI107" s="35">
        <f t="shared" si="49"/>
        <v>-0.10548102261872989</v>
      </c>
      <c r="AJ107" s="33">
        <f t="shared" si="67"/>
        <v>-6.0436174147771977</v>
      </c>
      <c r="AK107" s="37">
        <f t="shared" si="84"/>
        <v>-1.8816183910965734E-3</v>
      </c>
      <c r="AM107" s="41">
        <f t="shared" si="68"/>
        <v>-0.16350985038329302</v>
      </c>
      <c r="AN107" s="41">
        <f t="shared" si="69"/>
        <v>-9.3684243357782364</v>
      </c>
      <c r="AO107" s="42">
        <f t="shared" si="70"/>
        <v>0.16350985038329302</v>
      </c>
      <c r="AP107" s="41">
        <f t="shared" si="85"/>
        <v>-0.41412872528437406</v>
      </c>
      <c r="AQ107" s="41">
        <f t="shared" si="86"/>
        <v>6.464140854007816E-2</v>
      </c>
      <c r="AR107" s="43">
        <f t="shared" si="50"/>
        <v>1.6997399123730084</v>
      </c>
      <c r="AS107" s="41">
        <f t="shared" si="51"/>
        <v>97.387923248909757</v>
      </c>
      <c r="AU107" s="48">
        <f t="shared" si="87"/>
        <v>-5.2395090822570337E-2</v>
      </c>
      <c r="AV107" s="48">
        <f t="shared" si="71"/>
        <v>-3.0020175713379129</v>
      </c>
      <c r="AW107" s="49">
        <f t="shared" si="72"/>
        <v>1.7521350031955787</v>
      </c>
      <c r="AX107" s="48">
        <f t="shared" si="88"/>
        <v>-1.7193484987757324</v>
      </c>
      <c r="AY107" s="48">
        <f t="shared" si="89"/>
        <v>-1.8783099582618812</v>
      </c>
      <c r="AZ107" s="50">
        <f t="shared" si="73"/>
        <v>-5.6181459048383231E-2</v>
      </c>
      <c r="BA107" s="48">
        <f t="shared" si="74"/>
        <v>-3.2189604903594295</v>
      </c>
      <c r="BB107" s="52">
        <f t="shared" si="90"/>
        <v>1.1531184060210398</v>
      </c>
      <c r="BC107" s="44">
        <f t="shared" si="75"/>
        <v>-5.2395090822570337E-2</v>
      </c>
    </row>
    <row r="108" spans="4:55" x14ac:dyDescent="0.3">
      <c r="D108">
        <f t="shared" si="76"/>
        <v>1.0600000000000007</v>
      </c>
      <c r="F108" s="5">
        <f t="shared" si="52"/>
        <v>0.79031881725793796</v>
      </c>
      <c r="G108" s="6">
        <f t="shared" si="53"/>
        <v>45.281932698650813</v>
      </c>
      <c r="I108" s="9">
        <f t="shared" si="54"/>
        <v>0.79248695323147966</v>
      </c>
      <c r="J108" s="9">
        <f t="shared" si="55"/>
        <v>45.40615773934524</v>
      </c>
      <c r="K108" s="9">
        <f t="shared" si="56"/>
        <v>-6.0359012715033646</v>
      </c>
      <c r="L108" s="9">
        <f t="shared" si="57"/>
        <v>-0.1053463505130459</v>
      </c>
      <c r="M108" s="11">
        <f t="shared" si="47"/>
        <v>0.17855596163330278</v>
      </c>
      <c r="O108" s="15">
        <f t="shared" si="58"/>
        <v>0.86863018074222365</v>
      </c>
      <c r="P108" s="15">
        <f t="shared" si="59"/>
        <v>49.768843314215296</v>
      </c>
      <c r="Q108" s="15">
        <v>-6.0359012715033602</v>
      </c>
      <c r="R108" s="15">
        <f t="shared" si="60"/>
        <v>-0.10534635051304582</v>
      </c>
      <c r="S108" s="16">
        <f t="shared" si="48"/>
        <v>8.9847238926235029E-3</v>
      </c>
      <c r="U108" s="23">
        <f t="shared" si="77"/>
        <v>0.85967684681318512</v>
      </c>
      <c r="V108" s="23">
        <f t="shared" si="61"/>
        <v>49.255855067510105</v>
      </c>
      <c r="W108" s="23">
        <f t="shared" si="62"/>
        <v>1.2987779183979642E-2</v>
      </c>
      <c r="X108" s="23">
        <f t="shared" si="78"/>
        <v>3.9270778629805138E-2</v>
      </c>
      <c r="Y108" s="23">
        <f t="shared" si="79"/>
        <v>-1.2585988374314017E-2</v>
      </c>
      <c r="Z108" s="26">
        <f t="shared" si="63"/>
        <v>-0.10445418568569799</v>
      </c>
      <c r="AA108" s="23">
        <f t="shared" si="64"/>
        <v>-5.984783992266312</v>
      </c>
      <c r="AB108" s="24">
        <f t="shared" si="80"/>
        <v>1.2465192687821647E-2</v>
      </c>
      <c r="AD108" s="33">
        <f t="shared" si="81"/>
        <v>0.87460631253343557</v>
      </c>
      <c r="AE108" s="33">
        <f t="shared" si="65"/>
        <v>50.111250443665696</v>
      </c>
      <c r="AF108" s="33">
        <f t="shared" si="66"/>
        <v>-1.9416865362708036E-3</v>
      </c>
      <c r="AG108" s="33">
        <f t="shared" si="82"/>
        <v>5.4676847532993338E-2</v>
      </c>
      <c r="AH108" s="33">
        <f t="shared" si="83"/>
        <v>1.8816183910974615E-3</v>
      </c>
      <c r="AI108" s="35">
        <f t="shared" si="49"/>
        <v>-0.10547973008540056</v>
      </c>
      <c r="AJ108" s="33">
        <f t="shared" si="67"/>
        <v>-6.0435433580725464</v>
      </c>
      <c r="AK108" s="37">
        <f t="shared" si="84"/>
        <v>-1.8635593099567416E-3</v>
      </c>
      <c r="AM108" s="41">
        <f t="shared" si="68"/>
        <v>-0.16403380129151873</v>
      </c>
      <c r="AN108" s="41">
        <f t="shared" si="69"/>
        <v>-9.3984445114916149</v>
      </c>
      <c r="AO108" s="42">
        <f t="shared" si="70"/>
        <v>0.16403380129151873</v>
      </c>
      <c r="AP108" s="41">
        <f t="shared" si="85"/>
        <v>-0.41248838727145887</v>
      </c>
      <c r="AQ108" s="41">
        <f t="shared" si="86"/>
        <v>5.2395090822571211E-2</v>
      </c>
      <c r="AR108" s="43">
        <f t="shared" si="50"/>
        <v>1.6927331037377586</v>
      </c>
      <c r="AS108" s="41">
        <f t="shared" si="51"/>
        <v>96.986462686254129</v>
      </c>
      <c r="AU108" s="48">
        <f t="shared" si="87"/>
        <v>-4.0863906762359938E-2</v>
      </c>
      <c r="AV108" s="48">
        <f t="shared" si="71"/>
        <v>-2.3413293918993285</v>
      </c>
      <c r="AW108" s="49">
        <f t="shared" si="72"/>
        <v>1.7335970105001186</v>
      </c>
      <c r="AX108" s="48">
        <f t="shared" si="88"/>
        <v>-1.7020125286707313</v>
      </c>
      <c r="AY108" s="48">
        <f t="shared" si="89"/>
        <v>-1.8537992695460082</v>
      </c>
      <c r="AZ108" s="50">
        <f t="shared" si="73"/>
        <v>-5.3899967311044628E-2</v>
      </c>
      <c r="BA108" s="48">
        <f t="shared" si="74"/>
        <v>-3.0882406428159577</v>
      </c>
      <c r="BB108" s="52">
        <f t="shared" si="90"/>
        <v>1.0853495075259667</v>
      </c>
      <c r="BC108" s="44">
        <f t="shared" si="75"/>
        <v>-4.0863906762359938E-2</v>
      </c>
    </row>
    <row r="109" spans="4:55" x14ac:dyDescent="0.3">
      <c r="D109">
        <f t="shared" si="76"/>
        <v>1.0700000000000007</v>
      </c>
      <c r="F109" s="5">
        <f t="shared" si="52"/>
        <v>0.79213239219660048</v>
      </c>
      <c r="G109" s="6">
        <f t="shared" si="53"/>
        <v>45.385842888466875</v>
      </c>
      <c r="I109" s="9">
        <f t="shared" si="54"/>
        <v>0.79427251284781264</v>
      </c>
      <c r="J109" s="9">
        <f t="shared" si="55"/>
        <v>45.508462769430118</v>
      </c>
      <c r="K109" s="9">
        <f t="shared" si="56"/>
        <v>-6.0359012715033646</v>
      </c>
      <c r="L109" s="9">
        <f t="shared" si="57"/>
        <v>-0.1053463505130459</v>
      </c>
      <c r="M109" s="11">
        <f t="shared" si="47"/>
        <v>0.17457951403448457</v>
      </c>
      <c r="O109" s="15">
        <f t="shared" si="58"/>
        <v>0.86872002798114989</v>
      </c>
      <c r="P109" s="15">
        <f t="shared" si="59"/>
        <v>49.773991181806672</v>
      </c>
      <c r="Q109" s="15">
        <v>-6.0359012715033602</v>
      </c>
      <c r="R109" s="15">
        <f t="shared" si="60"/>
        <v>-0.10534635051304582</v>
      </c>
      <c r="S109" s="16">
        <f t="shared" si="48"/>
        <v>8.7846337728536561E-3</v>
      </c>
      <c r="U109" s="23">
        <f t="shared" si="77"/>
        <v>0.85980149874006329</v>
      </c>
      <c r="V109" s="23">
        <f t="shared" si="61"/>
        <v>49.262997096828393</v>
      </c>
      <c r="W109" s="23">
        <f t="shared" si="62"/>
        <v>1.2863127257101481E-2</v>
      </c>
      <c r="X109" s="23">
        <f t="shared" si="78"/>
        <v>3.9399409902376149E-2</v>
      </c>
      <c r="Y109" s="23">
        <f t="shared" si="79"/>
        <v>-1.2465192687816096E-2</v>
      </c>
      <c r="Z109" s="26">
        <f t="shared" si="63"/>
        <v>-0.10446274835551618</v>
      </c>
      <c r="AA109" s="23">
        <f t="shared" si="64"/>
        <v>-5.9852745971082584</v>
      </c>
      <c r="AB109" s="24">
        <f t="shared" si="80"/>
        <v>1.2345556353896114E-2</v>
      </c>
      <c r="AD109" s="33">
        <f t="shared" si="81"/>
        <v>0.87458767694033601</v>
      </c>
      <c r="AE109" s="33">
        <f t="shared" si="65"/>
        <v>50.110182702832368</v>
      </c>
      <c r="AF109" s="33">
        <f t="shared" si="66"/>
        <v>-1.923050943171245E-3</v>
      </c>
      <c r="AG109" s="33">
        <f t="shared" si="82"/>
        <v>5.4657617023561623E-2</v>
      </c>
      <c r="AH109" s="33">
        <f t="shared" si="83"/>
        <v>1.8635593099558534E-3</v>
      </c>
      <c r="AI109" s="35">
        <f t="shared" si="49"/>
        <v>-0.10547844995733054</v>
      </c>
      <c r="AJ109" s="33">
        <f t="shared" si="67"/>
        <v>-6.0434700121368978</v>
      </c>
      <c r="AK109" s="37">
        <f t="shared" si="84"/>
        <v>-1.8456735532355051E-3</v>
      </c>
      <c r="AM109" s="41">
        <f t="shared" si="68"/>
        <v>-0.16444244035914232</v>
      </c>
      <c r="AN109" s="41">
        <f t="shared" si="69"/>
        <v>-9.4218578054106086</v>
      </c>
      <c r="AO109" s="42">
        <f t="shared" si="70"/>
        <v>0.16444244035914232</v>
      </c>
      <c r="AP109" s="41">
        <f t="shared" si="85"/>
        <v>-0.41084396286786745</v>
      </c>
      <c r="AQ109" s="41">
        <f t="shared" si="86"/>
        <v>4.0863906762358959E-2</v>
      </c>
      <c r="AR109" s="43">
        <f t="shared" si="50"/>
        <v>1.6852883103537821</v>
      </c>
      <c r="AS109" s="41">
        <f t="shared" si="51"/>
        <v>96.559907446005354</v>
      </c>
      <c r="AU109" s="48">
        <f t="shared" si="87"/>
        <v>-3.001041168710027E-2</v>
      </c>
      <c r="AV109" s="48">
        <f t="shared" si="71"/>
        <v>-1.7194699311209261</v>
      </c>
      <c r="AW109" s="49">
        <f t="shared" si="72"/>
        <v>1.7152987220408824</v>
      </c>
      <c r="AX109" s="48">
        <f t="shared" si="88"/>
        <v>-1.6848595414503225</v>
      </c>
      <c r="AY109" s="48">
        <f t="shared" si="89"/>
        <v>-1.8298288459236201</v>
      </c>
      <c r="AZ109" s="50">
        <f t="shared" si="73"/>
        <v>-5.1729216951501789E-2</v>
      </c>
      <c r="BA109" s="48">
        <f t="shared" si="74"/>
        <v>-2.9638658088376468</v>
      </c>
      <c r="BB109" s="52">
        <f t="shared" si="90"/>
        <v>1.0211327793691924</v>
      </c>
      <c r="BC109" s="44">
        <f t="shared" si="75"/>
        <v>-3.001041168710027E-2</v>
      </c>
    </row>
    <row r="110" spans="4:55" x14ac:dyDescent="0.3">
      <c r="D110">
        <f t="shared" si="76"/>
        <v>1.0800000000000007</v>
      </c>
      <c r="F110" s="5">
        <f t="shared" si="52"/>
        <v>0.79390602516239872</v>
      </c>
      <c r="G110" s="6">
        <f t="shared" si="53"/>
        <v>45.487464571812382</v>
      </c>
      <c r="I110" s="9">
        <f t="shared" si="54"/>
        <v>0.79601830798815754</v>
      </c>
      <c r="J110" s="9">
        <f t="shared" si="55"/>
        <v>45.608489462866331</v>
      </c>
      <c r="K110" s="9">
        <f t="shared" si="56"/>
        <v>-6.0359012715033646</v>
      </c>
      <c r="L110" s="9">
        <f t="shared" si="57"/>
        <v>-0.1053463505130459</v>
      </c>
      <c r="M110" s="11">
        <f t="shared" si="47"/>
        <v>0.17069162206473387</v>
      </c>
      <c r="O110" s="15">
        <f t="shared" si="58"/>
        <v>0.8688078743188784</v>
      </c>
      <c r="P110" s="15">
        <f t="shared" si="59"/>
        <v>49.779024406204194</v>
      </c>
      <c r="Q110" s="15">
        <v>-6.0359012715033602</v>
      </c>
      <c r="R110" s="15">
        <f t="shared" si="60"/>
        <v>-0.10534635051304582</v>
      </c>
      <c r="S110" s="16">
        <f t="shared" si="48"/>
        <v>8.5889996671477675E-3</v>
      </c>
      <c r="U110" s="23">
        <f t="shared" si="77"/>
        <v>0.85992495430360227</v>
      </c>
      <c r="V110" s="23">
        <f t="shared" si="61"/>
        <v>49.27007057957659</v>
      </c>
      <c r="W110" s="23">
        <f t="shared" si="62"/>
        <v>1.2739671693562493E-2</v>
      </c>
      <c r="X110" s="23">
        <f t="shared" si="78"/>
        <v>3.9526806619311773E-2</v>
      </c>
      <c r="Y110" s="23">
        <f t="shared" si="79"/>
        <v>-1.2345556353898779E-2</v>
      </c>
      <c r="Z110" s="26">
        <f t="shared" si="63"/>
        <v>-0.10447122884397904</v>
      </c>
      <c r="AA110" s="23">
        <f t="shared" si="64"/>
        <v>-5.9857604933053894</v>
      </c>
      <c r="AB110" s="24">
        <f t="shared" si="80"/>
        <v>1.2227068245487693E-2</v>
      </c>
      <c r="AD110" s="33">
        <f t="shared" si="81"/>
        <v>0.87456922020480365</v>
      </c>
      <c r="AE110" s="33">
        <f t="shared" si="65"/>
        <v>50.109125209782775</v>
      </c>
      <c r="AF110" s="33">
        <f t="shared" si="66"/>
        <v>-1.9045942076388878E-3</v>
      </c>
      <c r="AG110" s="33">
        <f t="shared" si="82"/>
        <v>5.4638571081485232E-2</v>
      </c>
      <c r="AH110" s="33">
        <f t="shared" si="83"/>
        <v>1.8456735532357271E-3</v>
      </c>
      <c r="AI110" s="35">
        <f t="shared" si="49"/>
        <v>-0.10547718211545887</v>
      </c>
      <c r="AJ110" s="33">
        <f t="shared" si="67"/>
        <v>-6.0433973701485613</v>
      </c>
      <c r="AK110" s="37">
        <f t="shared" si="84"/>
        <v>-1.8279594574270863E-3</v>
      </c>
      <c r="AM110" s="41">
        <f t="shared" si="68"/>
        <v>-0.16474254447601333</v>
      </c>
      <c r="AN110" s="41">
        <f t="shared" si="69"/>
        <v>-9.4390525047218183</v>
      </c>
      <c r="AO110" s="42">
        <f t="shared" si="70"/>
        <v>0.16474254447601333</v>
      </c>
      <c r="AP110" s="41">
        <f t="shared" si="85"/>
        <v>-0.4091965374231073</v>
      </c>
      <c r="AQ110" s="41">
        <f t="shared" si="86"/>
        <v>3.0010411687100835E-2</v>
      </c>
      <c r="AR110" s="43">
        <f t="shared" si="50"/>
        <v>1.677435856447234</v>
      </c>
      <c r="AS110" s="41">
        <f t="shared" si="51"/>
        <v>96.109994978339131</v>
      </c>
      <c r="AU110" s="48">
        <f t="shared" si="87"/>
        <v>-1.9799083893408346E-2</v>
      </c>
      <c r="AV110" s="48">
        <f t="shared" si="71"/>
        <v>-1.1344039453177441</v>
      </c>
      <c r="AW110" s="49">
        <f t="shared" si="72"/>
        <v>1.6972349403406424</v>
      </c>
      <c r="AX110" s="48">
        <f t="shared" si="88"/>
        <v>-1.667887192046916</v>
      </c>
      <c r="AY110" s="48">
        <f t="shared" si="89"/>
        <v>-1.8063781700240034</v>
      </c>
      <c r="AZ110" s="50">
        <f t="shared" si="73"/>
        <v>-4.9663605737332639E-2</v>
      </c>
      <c r="BA110" s="48">
        <f t="shared" si="74"/>
        <v>-2.8455150041508612</v>
      </c>
      <c r="BB110" s="52">
        <f t="shared" si="90"/>
        <v>0.96028576472758698</v>
      </c>
      <c r="BC110" s="44">
        <f t="shared" si="75"/>
        <v>-1.9799083893408346E-2</v>
      </c>
    </row>
    <row r="111" spans="4:55" x14ac:dyDescent="0.3">
      <c r="D111">
        <f t="shared" si="76"/>
        <v>1.0900000000000007</v>
      </c>
      <c r="F111" s="5">
        <f t="shared" si="52"/>
        <v>0.79564059583290347</v>
      </c>
      <c r="G111" s="6">
        <f t="shared" si="53"/>
        <v>45.586848150499485</v>
      </c>
      <c r="I111" s="9">
        <f t="shared" si="54"/>
        <v>0.79772522420880487</v>
      </c>
      <c r="J111" s="9">
        <f t="shared" si="55"/>
        <v>45.706288558291845</v>
      </c>
      <c r="K111" s="9">
        <f t="shared" si="56"/>
        <v>-6.0359012715033646</v>
      </c>
      <c r="L111" s="9">
        <f t="shared" si="57"/>
        <v>-0.1053463505130459</v>
      </c>
      <c r="M111" s="11">
        <f t="shared" si="47"/>
        <v>0.16689031358704964</v>
      </c>
      <c r="O111" s="15">
        <f t="shared" si="58"/>
        <v>0.86889376431554988</v>
      </c>
      <c r="P111" s="15">
        <f t="shared" si="59"/>
        <v>49.783945540515866</v>
      </c>
      <c r="Q111" s="15">
        <v>-6.0359012715033602</v>
      </c>
      <c r="R111" s="15">
        <f t="shared" si="60"/>
        <v>-0.10534635051304582</v>
      </c>
      <c r="S111" s="16">
        <f t="shared" si="48"/>
        <v>8.3977223399152034E-3</v>
      </c>
      <c r="U111" s="23">
        <f t="shared" si="77"/>
        <v>0.86004722498605712</v>
      </c>
      <c r="V111" s="23">
        <f t="shared" si="61"/>
        <v>49.277076173639436</v>
      </c>
      <c r="W111" s="23">
        <f t="shared" si="62"/>
        <v>1.2617401011107643E-2</v>
      </c>
      <c r="X111" s="23">
        <f t="shared" si="78"/>
        <v>3.9652980629422852E-2</v>
      </c>
      <c r="Y111" s="23">
        <f t="shared" si="79"/>
        <v>-1.2227068245485029E-2</v>
      </c>
      <c r="Z111" s="26">
        <f t="shared" si="63"/>
        <v>-0.10447962793983356</v>
      </c>
      <c r="AA111" s="23">
        <f t="shared" si="64"/>
        <v>-5.9862417260495793</v>
      </c>
      <c r="AB111" s="24">
        <f t="shared" si="80"/>
        <v>1.2109717342361881E-2</v>
      </c>
      <c r="AD111" s="33">
        <f t="shared" si="81"/>
        <v>0.87455094061022942</v>
      </c>
      <c r="AE111" s="33">
        <f t="shared" si="65"/>
        <v>50.108077866162461</v>
      </c>
      <c r="AF111" s="33">
        <f t="shared" si="66"/>
        <v>-1.8863146130646546E-3</v>
      </c>
      <c r="AG111" s="33">
        <f t="shared" si="82"/>
        <v>5.4619707935354589E-2</v>
      </c>
      <c r="AH111" s="33">
        <f t="shared" si="83"/>
        <v>1.8279594574233116E-3</v>
      </c>
      <c r="AI111" s="35">
        <f t="shared" si="49"/>
        <v>-0.10547592644186699</v>
      </c>
      <c r="AJ111" s="33">
        <f t="shared" si="67"/>
        <v>-6.0433254253513002</v>
      </c>
      <c r="AK111" s="37">
        <f t="shared" si="84"/>
        <v>-1.8104153749958218E-3</v>
      </c>
      <c r="AM111" s="41">
        <f t="shared" si="68"/>
        <v>-0.1649405353149474</v>
      </c>
      <c r="AN111" s="41">
        <f t="shared" si="69"/>
        <v>-9.4503965441749944</v>
      </c>
      <c r="AO111" s="42">
        <f t="shared" si="70"/>
        <v>0.1649405353149474</v>
      </c>
      <c r="AP111" s="41">
        <f t="shared" si="85"/>
        <v>-0.40754713206995785</v>
      </c>
      <c r="AQ111" s="41">
        <f t="shared" si="86"/>
        <v>1.979908389340701E-2</v>
      </c>
      <c r="AR111" s="43">
        <f t="shared" si="50"/>
        <v>1.6692044370428809</v>
      </c>
      <c r="AS111" s="41">
        <f t="shared" si="51"/>
        <v>95.638369387067613</v>
      </c>
      <c r="AU111" s="48">
        <f t="shared" si="87"/>
        <v>-1.0196226246132476E-2</v>
      </c>
      <c r="AV111" s="48">
        <f t="shared" si="71"/>
        <v>-0.58420073086390945</v>
      </c>
      <c r="AW111" s="49">
        <f t="shared" si="72"/>
        <v>1.6794006632890133</v>
      </c>
      <c r="AX111" s="48">
        <f t="shared" si="88"/>
        <v>-1.6510931854140258</v>
      </c>
      <c r="AY111" s="48">
        <f t="shared" si="89"/>
        <v>-1.7834277051629099</v>
      </c>
      <c r="AZ111" s="50">
        <f t="shared" si="73"/>
        <v>-4.7697817224160333E-2</v>
      </c>
      <c r="BA111" s="48">
        <f t="shared" si="74"/>
        <v>-2.7328836189307908</v>
      </c>
      <c r="BB111" s="52">
        <f t="shared" si="90"/>
        <v>0.90263534230968012</v>
      </c>
      <c r="BC111" s="44">
        <f t="shared" si="75"/>
        <v>-1.0196226246132476E-2</v>
      </c>
    </row>
    <row r="112" spans="4:55" x14ac:dyDescent="0.3">
      <c r="D112">
        <f t="shared" si="76"/>
        <v>1.1000000000000008</v>
      </c>
      <c r="F112" s="5">
        <f t="shared" si="52"/>
        <v>0.79733696451176428</v>
      </c>
      <c r="G112" s="6">
        <f t="shared" si="53"/>
        <v>45.684042916296391</v>
      </c>
      <c r="I112" s="9">
        <f t="shared" si="54"/>
        <v>0.79939412734467541</v>
      </c>
      <c r="J112" s="9">
        <f t="shared" si="55"/>
        <v>45.801909664393378</v>
      </c>
      <c r="K112" s="9">
        <f t="shared" si="56"/>
        <v>-6.0359012715033646</v>
      </c>
      <c r="L112" s="9">
        <f t="shared" si="57"/>
        <v>-0.1053463505130459</v>
      </c>
      <c r="M112" s="11">
        <f t="shared" si="47"/>
        <v>0.16317366038399328</v>
      </c>
      <c r="O112" s="15">
        <f t="shared" si="58"/>
        <v>0.86897774153894902</v>
      </c>
      <c r="P112" s="15">
        <f t="shared" si="59"/>
        <v>49.788757080991864</v>
      </c>
      <c r="Q112" s="15">
        <v>-6.0359012715033602</v>
      </c>
      <c r="R112" s="15">
        <f t="shared" si="60"/>
        <v>-0.10534635051304582</v>
      </c>
      <c r="S112" s="16">
        <f t="shared" si="48"/>
        <v>8.2107047655444187E-3</v>
      </c>
      <c r="U112" s="23">
        <f t="shared" si="77"/>
        <v>0.86016832215948069</v>
      </c>
      <c r="V112" s="23">
        <f t="shared" si="61"/>
        <v>49.284014530587569</v>
      </c>
      <c r="W112" s="23">
        <f t="shared" si="62"/>
        <v>1.2496303837684075E-2</v>
      </c>
      <c r="X112" s="23">
        <f t="shared" si="78"/>
        <v>3.9777943667799694E-2</v>
      </c>
      <c r="Y112" s="23">
        <f t="shared" si="79"/>
        <v>-1.2109717342356774E-2</v>
      </c>
      <c r="Z112" s="26">
        <f t="shared" si="63"/>
        <v>-0.10448794642425575</v>
      </c>
      <c r="AA112" s="23">
        <f t="shared" si="64"/>
        <v>-5.9867183400989159</v>
      </c>
      <c r="AB112" s="24">
        <f t="shared" si="80"/>
        <v>1.1993492730033806E-2</v>
      </c>
      <c r="AD112" s="33">
        <f t="shared" si="81"/>
        <v>0.8745328364564795</v>
      </c>
      <c r="AE112" s="33">
        <f t="shared" si="65"/>
        <v>50.107040574560934</v>
      </c>
      <c r="AF112" s="33">
        <f t="shared" si="66"/>
        <v>-1.8682104593147342E-3</v>
      </c>
      <c r="AG112" s="33">
        <f t="shared" si="82"/>
        <v>5.4601025830761443E-2</v>
      </c>
      <c r="AH112" s="33">
        <f t="shared" si="83"/>
        <v>1.8104153749920471E-3</v>
      </c>
      <c r="AI112" s="35">
        <f t="shared" si="49"/>
        <v>-0.10547468281976838</v>
      </c>
      <c r="AJ112" s="33">
        <f t="shared" si="67"/>
        <v>-6.0432541710537411</v>
      </c>
      <c r="AK112" s="37">
        <f t="shared" si="84"/>
        <v>-1.7930396742134036E-3</v>
      </c>
      <c r="AM112" s="41">
        <f t="shared" si="68"/>
        <v>-0.16504249757740871</v>
      </c>
      <c r="AN112" s="41">
        <f t="shared" si="69"/>
        <v>-9.4562385514836329</v>
      </c>
      <c r="AO112" s="42">
        <f t="shared" si="70"/>
        <v>0.16504249757740871</v>
      </c>
      <c r="AP112" s="41">
        <f t="shared" si="85"/>
        <v>-0.40589670709418374</v>
      </c>
      <c r="AQ112" s="41">
        <f t="shared" si="86"/>
        <v>1.0196226246131368E-2</v>
      </c>
      <c r="AR112" s="43">
        <f t="shared" si="50"/>
        <v>1.6606212020202187</v>
      </c>
      <c r="AS112" s="41">
        <f t="shared" si="51"/>
        <v>95.146586245700192</v>
      </c>
      <c r="AU112" s="48">
        <f t="shared" si="87"/>
        <v>-1.169872823035675E-3</v>
      </c>
      <c r="AV112" s="48">
        <f t="shared" si="71"/>
        <v>-6.7028775326999204E-2</v>
      </c>
      <c r="AW112" s="49">
        <f t="shared" si="72"/>
        <v>1.6617910748432543</v>
      </c>
      <c r="AX112" s="48">
        <f t="shared" si="88"/>
        <v>-1.6344752746655933</v>
      </c>
      <c r="AY112" s="48">
        <f t="shared" si="89"/>
        <v>-1.7609588445758995</v>
      </c>
      <c r="AZ112" s="50">
        <f t="shared" si="73"/>
        <v>-4.5826806132442499E-2</v>
      </c>
      <c r="BA112" s="48">
        <f t="shared" si="74"/>
        <v>-2.6256825799531942</v>
      </c>
      <c r="BB112" s="52">
        <f t="shared" si="90"/>
        <v>0.8480172486843589</v>
      </c>
      <c r="BC112" s="44">
        <f t="shared" si="75"/>
        <v>-1.169872823035675E-3</v>
      </c>
    </row>
    <row r="113" spans="4:55" x14ac:dyDescent="0.3">
      <c r="D113">
        <f t="shared" si="76"/>
        <v>1.1100000000000008</v>
      </c>
      <c r="F113" s="5">
        <f t="shared" si="52"/>
        <v>0.79899597255539878</v>
      </c>
      <c r="G113" s="6">
        <f t="shared" si="53"/>
        <v>45.779097075374906</v>
      </c>
      <c r="I113" s="9">
        <f t="shared" si="54"/>
        <v>0.80102586394851538</v>
      </c>
      <c r="J113" s="9">
        <f t="shared" si="55"/>
        <v>45.895401285070413</v>
      </c>
      <c r="K113" s="9">
        <f t="shared" si="56"/>
        <v>-6.0359012715033646</v>
      </c>
      <c r="L113" s="9">
        <f t="shared" si="57"/>
        <v>-0.1053463505130459</v>
      </c>
      <c r="M113" s="11">
        <f t="shared" si="47"/>
        <v>0.15953977717959589</v>
      </c>
      <c r="O113" s="15">
        <f t="shared" si="58"/>
        <v>0.86905984858660446</v>
      </c>
      <c r="P113" s="15">
        <f t="shared" si="59"/>
        <v>49.793461468290801</v>
      </c>
      <c r="Q113" s="15">
        <v>-6.0359012715033602</v>
      </c>
      <c r="R113" s="15">
        <f t="shared" si="60"/>
        <v>-0.10534635051304582</v>
      </c>
      <c r="S113" s="16">
        <f t="shared" si="48"/>
        <v>8.0278520791885466E-3</v>
      </c>
      <c r="U113" s="23">
        <f t="shared" si="77"/>
        <v>0.86028825708678103</v>
      </c>
      <c r="V113" s="23">
        <f t="shared" si="61"/>
        <v>49.290886295738083</v>
      </c>
      <c r="W113" s="23">
        <f t="shared" si="62"/>
        <v>1.2376368910383739E-2</v>
      </c>
      <c r="X113" s="23">
        <f t="shared" si="78"/>
        <v>3.9901707356903529E-2</v>
      </c>
      <c r="Y113" s="23">
        <f t="shared" si="79"/>
        <v>-1.1993492730033584E-2</v>
      </c>
      <c r="Z113" s="26">
        <f t="shared" si="63"/>
        <v>-0.10449618507092437</v>
      </c>
      <c r="AA113" s="23">
        <f t="shared" si="64"/>
        <v>-5.9871903797819277</v>
      </c>
      <c r="AB113" s="24">
        <f t="shared" si="80"/>
        <v>1.1878383598777464E-2</v>
      </c>
      <c r="AD113" s="33">
        <f t="shared" si="81"/>
        <v>0.87451490605973736</v>
      </c>
      <c r="AE113" s="33">
        <f t="shared" si="65"/>
        <v>50.106013238502612</v>
      </c>
      <c r="AF113" s="33">
        <f t="shared" si="66"/>
        <v>-1.8502800625725957E-3</v>
      </c>
      <c r="AG113" s="33">
        <f t="shared" si="82"/>
        <v>5.4582523030135714E-2</v>
      </c>
      <c r="AH113" s="33">
        <f t="shared" si="83"/>
        <v>1.7930396742138477E-3</v>
      </c>
      <c r="AI113" s="35">
        <f t="shared" si="49"/>
        <v>-0.10547345113349731</v>
      </c>
      <c r="AJ113" s="33">
        <f t="shared" si="67"/>
        <v>-6.0431836006287245</v>
      </c>
      <c r="AK113" s="37">
        <f t="shared" si="84"/>
        <v>-1.7758307390121075E-3</v>
      </c>
      <c r="AM113" s="41">
        <f t="shared" si="68"/>
        <v>-0.16505419630563908</v>
      </c>
      <c r="AN113" s="41">
        <f t="shared" si="69"/>
        <v>-9.4569088392369043</v>
      </c>
      <c r="AO113" s="42">
        <f t="shared" si="70"/>
        <v>0.16505419630563908</v>
      </c>
      <c r="AP113" s="41">
        <f t="shared" si="85"/>
        <v>-0.40424616513112732</v>
      </c>
      <c r="AQ113" s="41">
        <f t="shared" si="86"/>
        <v>1.1698728230369326E-3</v>
      </c>
      <c r="AR113" s="43">
        <f t="shared" si="50"/>
        <v>1.6517118358794278</v>
      </c>
      <c r="AS113" s="41">
        <f t="shared" si="51"/>
        <v>94.636117167696113</v>
      </c>
      <c r="AU113" s="48">
        <f t="shared" si="87"/>
        <v>7.3102996638079142E-3</v>
      </c>
      <c r="AV113" s="48">
        <f t="shared" si="71"/>
        <v>0.4188493177120981</v>
      </c>
      <c r="AW113" s="49">
        <f t="shared" si="72"/>
        <v>1.6444015362156199</v>
      </c>
      <c r="AX113" s="48">
        <f t="shared" si="88"/>
        <v>-1.6180312593034372</v>
      </c>
      <c r="AY113" s="48">
        <f t="shared" si="89"/>
        <v>-1.7389538627634371</v>
      </c>
      <c r="AZ113" s="50">
        <f t="shared" si="73"/>
        <v>-4.4045784510548303E-2</v>
      </c>
      <c r="BA113" s="48">
        <f t="shared" si="74"/>
        <v>-2.523637557797112</v>
      </c>
      <c r="BB113" s="52">
        <f t="shared" si="90"/>
        <v>0.79627562575274768</v>
      </c>
      <c r="BC113" s="44">
        <f t="shared" si="75"/>
        <v>7.3102996638079142E-3</v>
      </c>
    </row>
    <row r="114" spans="4:55" x14ac:dyDescent="0.3">
      <c r="D114">
        <f t="shared" si="76"/>
        <v>1.1200000000000008</v>
      </c>
      <c r="F114" s="5">
        <f t="shared" si="52"/>
        <v>0.80061844279028471</v>
      </c>
      <c r="G114" s="6">
        <f t="shared" si="53"/>
        <v>45.872057772219463</v>
      </c>
      <c r="I114" s="9">
        <f t="shared" si="54"/>
        <v>0.80262126172031134</v>
      </c>
      <c r="J114" s="9">
        <f t="shared" si="55"/>
        <v>45.986810844038899</v>
      </c>
      <c r="K114" s="9">
        <f t="shared" si="56"/>
        <v>-6.0359012715033646</v>
      </c>
      <c r="L114" s="9">
        <f t="shared" si="57"/>
        <v>-0.1053463505130459</v>
      </c>
      <c r="M114" s="11">
        <f t="shared" si="47"/>
        <v>0.15598682068305125</v>
      </c>
      <c r="O114" s="15">
        <f t="shared" si="58"/>
        <v>0.8691401271073963</v>
      </c>
      <c r="P114" s="15">
        <f t="shared" si="59"/>
        <v>49.798061088717724</v>
      </c>
      <c r="Q114" s="15">
        <v>-6.0359012715033602</v>
      </c>
      <c r="R114" s="15">
        <f t="shared" si="60"/>
        <v>-0.10534635051304582</v>
      </c>
      <c r="S114" s="16">
        <f t="shared" si="48"/>
        <v>7.8490715286430035E-3</v>
      </c>
      <c r="U114" s="23">
        <f t="shared" si="77"/>
        <v>0.86040704092276876</v>
      </c>
      <c r="V114" s="23">
        <f t="shared" si="61"/>
        <v>49.297692108214555</v>
      </c>
      <c r="W114" s="23">
        <f t="shared" si="62"/>
        <v>1.2257585074396005E-2</v>
      </c>
      <c r="X114" s="23">
        <f t="shared" si="78"/>
        <v>4.002428320764749E-2</v>
      </c>
      <c r="Y114" s="23">
        <f t="shared" si="79"/>
        <v>-1.1878383598773468E-2</v>
      </c>
      <c r="Z114" s="26">
        <f t="shared" si="63"/>
        <v>-0.10450434464609312</v>
      </c>
      <c r="AA114" s="23">
        <f t="shared" si="64"/>
        <v>-5.9876578890017162</v>
      </c>
      <c r="AB114" s="24">
        <f t="shared" si="80"/>
        <v>1.1764379242621636E-2</v>
      </c>
      <c r="AD114" s="33">
        <f t="shared" si="81"/>
        <v>0.87449714775234721</v>
      </c>
      <c r="AE114" s="33">
        <f t="shared" si="65"/>
        <v>50.104995762437859</v>
      </c>
      <c r="AF114" s="33">
        <f t="shared" si="66"/>
        <v>-1.832521755182448E-3</v>
      </c>
      <c r="AG114" s="33">
        <f t="shared" si="82"/>
        <v>5.4564197812583891E-2</v>
      </c>
      <c r="AH114" s="33">
        <f t="shared" si="83"/>
        <v>1.7758307390147721E-3</v>
      </c>
      <c r="AI114" s="35">
        <f t="shared" si="49"/>
        <v>-0.10547223126849796</v>
      </c>
      <c r="AJ114" s="33">
        <f t="shared" si="67"/>
        <v>-6.0431137075126857</v>
      </c>
      <c r="AK114" s="37">
        <f t="shared" si="84"/>
        <v>-1.7587869688409086E-3</v>
      </c>
      <c r="AM114" s="41">
        <f t="shared" si="68"/>
        <v>-0.16498109330900101</v>
      </c>
      <c r="AN114" s="41">
        <f t="shared" si="69"/>
        <v>-9.4527203460597828</v>
      </c>
      <c r="AO114" s="42">
        <f t="shared" si="70"/>
        <v>0.16498109330900101</v>
      </c>
      <c r="AP114" s="41">
        <f t="shared" si="85"/>
        <v>-0.4025963541980373</v>
      </c>
      <c r="AQ114" s="41">
        <f t="shared" si="86"/>
        <v>-7.3102996638069184E-3</v>
      </c>
      <c r="AR114" s="43">
        <f t="shared" si="50"/>
        <v>1.6425006334262031</v>
      </c>
      <c r="AS114" s="41">
        <f t="shared" si="51"/>
        <v>94.108354142885787</v>
      </c>
      <c r="AU114" s="48">
        <f t="shared" si="87"/>
        <v>1.5273055921335391E-2</v>
      </c>
      <c r="AV114" s="48">
        <f t="shared" si="71"/>
        <v>0.87508164455980897</v>
      </c>
      <c r="AW114" s="49">
        <f t="shared" si="72"/>
        <v>1.6272275775048677</v>
      </c>
      <c r="AX114" s="48">
        <f t="shared" si="88"/>
        <v>-1.6017589835283885</v>
      </c>
      <c r="AY114" s="48">
        <f t="shared" si="89"/>
        <v>-1.7173958710752224</v>
      </c>
      <c r="AZ114" s="50">
        <f t="shared" si="73"/>
        <v>-4.2350208597582206E-2</v>
      </c>
      <c r="BA114" s="48">
        <f t="shared" si="74"/>
        <v>-2.4264882141401136</v>
      </c>
      <c r="BB114" s="52">
        <f t="shared" si="90"/>
        <v>0.74726259120681393</v>
      </c>
      <c r="BC114" s="44">
        <f t="shared" si="75"/>
        <v>1.5273055921335391E-2</v>
      </c>
    </row>
    <row r="115" spans="4:55" x14ac:dyDescent="0.3">
      <c r="D115">
        <f t="shared" si="76"/>
        <v>1.1300000000000008</v>
      </c>
      <c r="F115" s="5">
        <f t="shared" si="52"/>
        <v>0.80220517992106033</v>
      </c>
      <c r="G115" s="6">
        <f t="shared" si="53"/>
        <v>45.962971113009608</v>
      </c>
      <c r="I115" s="9">
        <f t="shared" si="54"/>
        <v>0.80418112992714186</v>
      </c>
      <c r="J115" s="9">
        <f t="shared" si="55"/>
        <v>46.076184708886927</v>
      </c>
      <c r="K115" s="9">
        <f t="shared" si="56"/>
        <v>-6.0359012715033646</v>
      </c>
      <c r="L115" s="9">
        <f t="shared" si="57"/>
        <v>-0.1053463505130459</v>
      </c>
      <c r="M115" s="11">
        <f t="shared" si="47"/>
        <v>0.15251298865370555</v>
      </c>
      <c r="O115" s="15">
        <f t="shared" si="58"/>
        <v>0.86921861782268273</v>
      </c>
      <c r="P115" s="15">
        <f t="shared" si="59"/>
        <v>49.802558275434599</v>
      </c>
      <c r="Q115" s="15">
        <v>-6.0359012715033602</v>
      </c>
      <c r="R115" s="15">
        <f t="shared" si="60"/>
        <v>-0.10534635051304582</v>
      </c>
      <c r="S115" s="16">
        <f t="shared" si="48"/>
        <v>7.6742724272995666E-3</v>
      </c>
      <c r="U115" s="23">
        <f t="shared" si="77"/>
        <v>0.86052468471519494</v>
      </c>
      <c r="V115" s="23">
        <f t="shared" si="61"/>
        <v>49.304432601006489</v>
      </c>
      <c r="W115" s="23">
        <f t="shared" si="62"/>
        <v>1.2139941281969824E-2</v>
      </c>
      <c r="X115" s="23">
        <f t="shared" si="78"/>
        <v>4.0145682620467187E-2</v>
      </c>
      <c r="Y115" s="23">
        <f t="shared" si="79"/>
        <v>-1.1764379242618084E-2</v>
      </c>
      <c r="Z115" s="26">
        <f t="shared" si="63"/>
        <v>-0.10451242590866093</v>
      </c>
      <c r="AA115" s="23">
        <f t="shared" si="64"/>
        <v>-5.9881209112399887</v>
      </c>
      <c r="AB115" s="24">
        <f t="shared" si="80"/>
        <v>1.1651469058336694E-2</v>
      </c>
      <c r="AD115" s="33">
        <f t="shared" si="81"/>
        <v>0.8744795598826588</v>
      </c>
      <c r="AE115" s="33">
        <f t="shared" si="65"/>
        <v>50.103988051734085</v>
      </c>
      <c r="AF115" s="33">
        <f t="shared" si="66"/>
        <v>-1.81493388549403E-3</v>
      </c>
      <c r="AG115" s="33">
        <f t="shared" si="82"/>
        <v>5.4546048473728952E-2</v>
      </c>
      <c r="AH115" s="33">
        <f t="shared" si="83"/>
        <v>1.7587869688417967E-3</v>
      </c>
      <c r="AI115" s="35">
        <f t="shared" si="49"/>
        <v>-0.10547102311131405</v>
      </c>
      <c r="AJ115" s="33">
        <f t="shared" si="67"/>
        <v>-6.0430444852050602</v>
      </c>
      <c r="AK115" s="37">
        <f t="shared" si="84"/>
        <v>-1.741906778507829E-3</v>
      </c>
      <c r="AM115" s="41">
        <f t="shared" si="68"/>
        <v>-0.16482836274978765</v>
      </c>
      <c r="AN115" s="41">
        <f t="shared" si="69"/>
        <v>-9.4439695296141846</v>
      </c>
      <c r="AO115" s="42">
        <f t="shared" si="70"/>
        <v>0.16482836274978765</v>
      </c>
      <c r="AP115" s="41">
        <f t="shared" si="85"/>
        <v>-0.40094807057053944</v>
      </c>
      <c r="AQ115" s="41">
        <f t="shared" si="86"/>
        <v>-1.5273055921335987E-2</v>
      </c>
      <c r="AR115" s="43">
        <f t="shared" si="50"/>
        <v>1.6330105715765404</v>
      </c>
      <c r="AS115" s="41">
        <f t="shared" si="51"/>
        <v>93.564613651581993</v>
      </c>
      <c r="AU115" s="48">
        <f t="shared" si="87"/>
        <v>2.274568183340353E-2</v>
      </c>
      <c r="AV115" s="48">
        <f t="shared" si="71"/>
        <v>1.3032315712014109</v>
      </c>
      <c r="AW115" s="49">
        <f t="shared" si="72"/>
        <v>1.6102648897431369</v>
      </c>
      <c r="AX115" s="48">
        <f t="shared" si="88"/>
        <v>-1.5856563346309571</v>
      </c>
      <c r="AY115" s="48">
        <f t="shared" si="89"/>
        <v>-1.6962687761730821</v>
      </c>
      <c r="AZ115" s="50">
        <f t="shared" si="73"/>
        <v>-4.0735766343494073E-2</v>
      </c>
      <c r="BA115" s="48">
        <f t="shared" si="74"/>
        <v>-2.3339874867132759</v>
      </c>
      <c r="BB115" s="52">
        <f t="shared" si="90"/>
        <v>0.70083783067948235</v>
      </c>
      <c r="BC115" s="44">
        <f t="shared" si="75"/>
        <v>2.274568183340353E-2</v>
      </c>
    </row>
    <row r="116" spans="4:55" x14ac:dyDescent="0.3">
      <c r="D116">
        <f t="shared" si="76"/>
        <v>1.1400000000000008</v>
      </c>
      <c r="F116" s="5">
        <f t="shared" si="52"/>
        <v>0.80375697092963894</v>
      </c>
      <c r="G116" s="6">
        <f t="shared" si="53"/>
        <v>46.051882188487511</v>
      </c>
      <c r="I116" s="9">
        <f t="shared" si="54"/>
        <v>0.80570625981367894</v>
      </c>
      <c r="J116" s="9">
        <f t="shared" si="55"/>
        <v>46.163568214594768</v>
      </c>
      <c r="K116" s="9">
        <f t="shared" si="56"/>
        <v>-6.0359012715033646</v>
      </c>
      <c r="L116" s="9">
        <f t="shared" si="57"/>
        <v>-0.1053463505130459</v>
      </c>
      <c r="M116" s="11">
        <f t="shared" si="47"/>
        <v>0.14911651898686773</v>
      </c>
      <c r="O116" s="15">
        <f t="shared" si="58"/>
        <v>0.86929536054695578</v>
      </c>
      <c r="P116" s="15">
        <f t="shared" si="59"/>
        <v>49.806955309643783</v>
      </c>
      <c r="Q116" s="15">
        <v>-6.0359012715033602</v>
      </c>
      <c r="R116" s="15">
        <f t="shared" si="60"/>
        <v>-0.10534635051304582</v>
      </c>
      <c r="S116" s="16">
        <f t="shared" si="48"/>
        <v>7.5033661081429504E-3</v>
      </c>
      <c r="U116" s="23">
        <f t="shared" si="77"/>
        <v>0.86064119940577832</v>
      </c>
      <c r="V116" s="23">
        <f t="shared" si="61"/>
        <v>49.311108401028193</v>
      </c>
      <c r="W116" s="23">
        <f t="shared" si="62"/>
        <v>1.2023426591386444E-2</v>
      </c>
      <c r="X116" s="23">
        <f t="shared" si="78"/>
        <v>4.0265916886381051E-2</v>
      </c>
      <c r="Y116" s="23">
        <f t="shared" si="79"/>
        <v>-1.1651469058338026E-2</v>
      </c>
      <c r="Z116" s="26">
        <f t="shared" si="63"/>
        <v>-0.1045204296102433</v>
      </c>
      <c r="AA116" s="23">
        <f t="shared" si="64"/>
        <v>-5.9885794895611406</v>
      </c>
      <c r="AB116" s="24">
        <f t="shared" si="80"/>
        <v>1.1539642544462492E-2</v>
      </c>
      <c r="AD116" s="33">
        <f t="shared" si="81"/>
        <v>0.87446214081487372</v>
      </c>
      <c r="AE116" s="33">
        <f t="shared" si="65"/>
        <v>50.10299001266695</v>
      </c>
      <c r="AF116" s="33">
        <f t="shared" si="66"/>
        <v>-1.7975148177089562E-3</v>
      </c>
      <c r="AG116" s="33">
        <f t="shared" si="82"/>
        <v>5.452807332555186E-2</v>
      </c>
      <c r="AH116" s="33">
        <f t="shared" si="83"/>
        <v>1.741906778507385E-3</v>
      </c>
      <c r="AI116" s="35">
        <f t="shared" si="49"/>
        <v>-0.10546982654957834</v>
      </c>
      <c r="AJ116" s="33">
        <f t="shared" si="67"/>
        <v>-6.0429759272676771</v>
      </c>
      <c r="AK116" s="37">
        <f t="shared" si="84"/>
        <v>-1.725188598032501E-3</v>
      </c>
      <c r="AM116" s="41">
        <f t="shared" si="68"/>
        <v>-0.16460090593145363</v>
      </c>
      <c r="AN116" s="41">
        <f t="shared" si="69"/>
        <v>-9.4309372139021708</v>
      </c>
      <c r="AO116" s="42">
        <f t="shared" si="70"/>
        <v>0.16460090593145363</v>
      </c>
      <c r="AP116" s="41">
        <f t="shared" si="85"/>
        <v>-0.39930206151122488</v>
      </c>
      <c r="AQ116" s="41">
        <f t="shared" si="86"/>
        <v>-2.2745681833402642E-2</v>
      </c>
      <c r="AR116" s="43">
        <f t="shared" si="50"/>
        <v>1.6232633774811336</v>
      </c>
      <c r="AS116" s="41">
        <f t="shared" si="51"/>
        <v>93.006140567820353</v>
      </c>
      <c r="AU116" s="48">
        <f t="shared" si="87"/>
        <v>2.9754060140198355E-2</v>
      </c>
      <c r="AV116" s="48">
        <f t="shared" si="71"/>
        <v>1.7047820694117963</v>
      </c>
      <c r="AW116" s="49">
        <f t="shared" si="72"/>
        <v>1.5935093173409351</v>
      </c>
      <c r="AX116" s="48">
        <f t="shared" si="88"/>
        <v>-1.5697212414575479</v>
      </c>
      <c r="AY116" s="48">
        <f t="shared" si="89"/>
        <v>-1.6755572402201713</v>
      </c>
      <c r="AZ116" s="50">
        <f t="shared" si="73"/>
        <v>-3.9198365565673687E-2</v>
      </c>
      <c r="BA116" s="48">
        <f t="shared" si="74"/>
        <v>-2.2459009107240382</v>
      </c>
      <c r="BB116" s="52">
        <f t="shared" si="90"/>
        <v>0.65686821071943013</v>
      </c>
      <c r="BC116" s="44">
        <f t="shared" si="75"/>
        <v>2.9754060140198355E-2</v>
      </c>
    </row>
    <row r="117" spans="4:55" x14ac:dyDescent="0.3">
      <c r="D117">
        <f t="shared" si="76"/>
        <v>1.1500000000000008</v>
      </c>
      <c r="F117" s="5">
        <f t="shared" si="52"/>
        <v>0.80527458546553132</v>
      </c>
      <c r="G117" s="6">
        <f t="shared" si="53"/>
        <v>46.138835096321849</v>
      </c>
      <c r="I117" s="9">
        <f t="shared" si="54"/>
        <v>0.80719742500354763</v>
      </c>
      <c r="J117" s="9">
        <f t="shared" si="55"/>
        <v>46.249005686531071</v>
      </c>
      <c r="K117" s="9">
        <f t="shared" si="56"/>
        <v>-6.0359012715033646</v>
      </c>
      <c r="L117" s="9">
        <f t="shared" si="57"/>
        <v>-0.1053463505130459</v>
      </c>
      <c r="M117" s="11">
        <f t="shared" si="47"/>
        <v>0.14579568881998006</v>
      </c>
      <c r="O117" s="15">
        <f t="shared" si="58"/>
        <v>0.86937039420803719</v>
      </c>
      <c r="P117" s="15">
        <f t="shared" si="59"/>
        <v>49.811254421745161</v>
      </c>
      <c r="Q117" s="15">
        <v>-6.0359012715033602</v>
      </c>
      <c r="R117" s="15">
        <f t="shared" si="60"/>
        <v>-0.10534635051304582</v>
      </c>
      <c r="S117" s="16">
        <f t="shared" si="48"/>
        <v>7.3362658787758939E-3</v>
      </c>
      <c r="U117" s="23">
        <f t="shared" si="77"/>
        <v>0.86075659583122299</v>
      </c>
      <c r="V117" s="23">
        <f t="shared" si="61"/>
        <v>49.317720129177069</v>
      </c>
      <c r="W117" s="23">
        <f t="shared" si="62"/>
        <v>1.1908030165941774E-2</v>
      </c>
      <c r="X117" s="23">
        <f t="shared" si="78"/>
        <v>4.0384997188040471E-2</v>
      </c>
      <c r="Y117" s="23">
        <f t="shared" si="79"/>
        <v>-1.1539642544466933E-2</v>
      </c>
      <c r="Z117" s="26">
        <f t="shared" si="63"/>
        <v>-0.10452835649524216</v>
      </c>
      <c r="AA117" s="23">
        <f t="shared" si="64"/>
        <v>-5.9890336666162609</v>
      </c>
      <c r="AB117" s="24">
        <f t="shared" si="80"/>
        <v>1.1428889300331591E-2</v>
      </c>
      <c r="AD117" s="33">
        <f t="shared" si="81"/>
        <v>0.87444488892889338</v>
      </c>
      <c r="AE117" s="33">
        <f t="shared" si="65"/>
        <v>50.102001552411636</v>
      </c>
      <c r="AF117" s="33">
        <f t="shared" si="66"/>
        <v>-1.7802629317286156E-3</v>
      </c>
      <c r="AG117" s="33">
        <f t="shared" si="82"/>
        <v>5.4510270696234576E-2</v>
      </c>
      <c r="AH117" s="33">
        <f t="shared" si="83"/>
        <v>1.7251885980340553E-3</v>
      </c>
      <c r="AI117" s="35">
        <f t="shared" si="49"/>
        <v>-0.10546864147200209</v>
      </c>
      <c r="AJ117" s="33">
        <f t="shared" si="67"/>
        <v>-6.0429080273241622</v>
      </c>
      <c r="AK117" s="37">
        <f t="shared" si="84"/>
        <v>-1.7086308725007271E-3</v>
      </c>
      <c r="AM117" s="41">
        <f t="shared" si="68"/>
        <v>-0.16430336533005163</v>
      </c>
      <c r="AN117" s="41">
        <f t="shared" si="69"/>
        <v>-9.4138893932080521</v>
      </c>
      <c r="AO117" s="42">
        <f t="shared" si="70"/>
        <v>0.16430336533005163</v>
      </c>
      <c r="AP117" s="41">
        <f t="shared" si="85"/>
        <v>-0.39765902785792434</v>
      </c>
      <c r="AQ117" s="41">
        <f t="shared" si="86"/>
        <v>-2.9754060140199656E-2</v>
      </c>
      <c r="AR117" s="43">
        <f t="shared" si="50"/>
        <v>1.6132795931603168</v>
      </c>
      <c r="AS117" s="41">
        <f t="shared" si="51"/>
        <v>92.434111862668658</v>
      </c>
      <c r="AU117" s="48">
        <f t="shared" si="87"/>
        <v>3.6322742247392653E-2</v>
      </c>
      <c r="AV117" s="48">
        <f t="shared" si="71"/>
        <v>2.0811398311171296</v>
      </c>
      <c r="AW117" s="49">
        <f t="shared" si="72"/>
        <v>1.5769568509129241</v>
      </c>
      <c r="AX117" s="48">
        <f t="shared" si="88"/>
        <v>-1.5539516729484186</v>
      </c>
      <c r="AY117" s="48">
        <f t="shared" si="89"/>
        <v>-1.6552466428011003</v>
      </c>
      <c r="AZ117" s="50">
        <f t="shared" si="73"/>
        <v>-3.7734122715005536E-2</v>
      </c>
      <c r="BA117" s="48">
        <f t="shared" si="74"/>
        <v>-2.1620059751985483</v>
      </c>
      <c r="BB117" s="52">
        <f t="shared" si="90"/>
        <v>0.61522741162825867</v>
      </c>
      <c r="BC117" s="44">
        <f t="shared" si="75"/>
        <v>3.6322742247392653E-2</v>
      </c>
    </row>
    <row r="118" spans="4:55" x14ac:dyDescent="0.3">
      <c r="D118">
        <f t="shared" si="76"/>
        <v>1.1600000000000008</v>
      </c>
      <c r="F118" s="5">
        <f t="shared" si="52"/>
        <v>0.80675877622757308</v>
      </c>
      <c r="G118" s="6">
        <f t="shared" si="53"/>
        <v>46.223872962979151</v>
      </c>
      <c r="I118" s="9">
        <f t="shared" si="54"/>
        <v>0.80865538189174746</v>
      </c>
      <c r="J118" s="9">
        <f t="shared" si="55"/>
        <v>46.332540462936947</v>
      </c>
      <c r="K118" s="9">
        <f t="shared" si="56"/>
        <v>-6.0359012715033646</v>
      </c>
      <c r="L118" s="9">
        <f t="shared" si="57"/>
        <v>-0.1053463505130459</v>
      </c>
      <c r="M118" s="11">
        <f t="shared" si="47"/>
        <v>0.14254881365869654</v>
      </c>
      <c r="O118" s="15">
        <f t="shared" si="58"/>
        <v>0.86944375686682496</v>
      </c>
      <c r="P118" s="15">
        <f t="shared" si="59"/>
        <v>49.815457792467555</v>
      </c>
      <c r="Q118" s="15">
        <v>-6.0359012715033602</v>
      </c>
      <c r="R118" s="15">
        <f t="shared" si="60"/>
        <v>-0.10534635051304582</v>
      </c>
      <c r="S118" s="16">
        <f t="shared" si="48"/>
        <v>7.172886977443671E-3</v>
      </c>
      <c r="U118" s="23">
        <f t="shared" si="77"/>
        <v>0.86087088472422635</v>
      </c>
      <c r="V118" s="23">
        <f t="shared" si="61"/>
        <v>49.324268400391382</v>
      </c>
      <c r="W118" s="23">
        <f t="shared" si="62"/>
        <v>1.1793741272938418E-2</v>
      </c>
      <c r="X118" s="23">
        <f t="shared" si="78"/>
        <v>4.0502934600769855E-2</v>
      </c>
      <c r="Y118" s="23">
        <f t="shared" si="79"/>
        <v>-1.1428889300335587E-2</v>
      </c>
      <c r="Z118" s="26">
        <f t="shared" si="63"/>
        <v>-0.10453620730091487</v>
      </c>
      <c r="AA118" s="23">
        <f t="shared" si="64"/>
        <v>-5.989483484647085</v>
      </c>
      <c r="AB118" s="24">
        <f t="shared" si="80"/>
        <v>1.1319199025096927E-2</v>
      </c>
      <c r="AD118" s="33">
        <f t="shared" si="81"/>
        <v>0.87442780262016839</v>
      </c>
      <c r="AE118" s="33">
        <f t="shared" si="65"/>
        <v>50.101022579034236</v>
      </c>
      <c r="AF118" s="33">
        <f t="shared" si="66"/>
        <v>-1.7631766230036261E-3</v>
      </c>
      <c r="AG118" s="33">
        <f t="shared" si="82"/>
        <v>5.4492638930004542E-2</v>
      </c>
      <c r="AH118" s="33">
        <f t="shared" si="83"/>
        <v>1.7086308724989507E-3</v>
      </c>
      <c r="AI118" s="35">
        <f t="shared" si="49"/>
        <v>-0.10546746776836433</v>
      </c>
      <c r="AJ118" s="33">
        <f t="shared" si="67"/>
        <v>-6.0428407790593193</v>
      </c>
      <c r="AK118" s="37">
        <f t="shared" si="84"/>
        <v>-1.6922320619314757E-3</v>
      </c>
      <c r="AM118" s="41">
        <f t="shared" si="68"/>
        <v>-0.16394013790757769</v>
      </c>
      <c r="AN118" s="41">
        <f t="shared" si="69"/>
        <v>-9.3930779948968812</v>
      </c>
      <c r="AO118" s="42">
        <f t="shared" si="70"/>
        <v>0.16394013790757769</v>
      </c>
      <c r="AP118" s="41">
        <f t="shared" si="85"/>
        <v>-0.39601962647884859</v>
      </c>
      <c r="AQ118" s="41">
        <f t="shared" si="86"/>
        <v>-3.6322742247393847E-2</v>
      </c>
      <c r="AR118" s="43">
        <f t="shared" si="50"/>
        <v>1.6030786368283829</v>
      </c>
      <c r="AS118" s="41">
        <f t="shared" si="51"/>
        <v>91.849640117851592</v>
      </c>
      <c r="AU118" s="48">
        <f t="shared" si="87"/>
        <v>4.247501636367524E-2</v>
      </c>
      <c r="AV118" s="48">
        <f t="shared" si="71"/>
        <v>2.4336391723877004</v>
      </c>
      <c r="AW118" s="49">
        <f t="shared" si="72"/>
        <v>1.5606036204647076</v>
      </c>
      <c r="AX118" s="48">
        <f t="shared" si="88"/>
        <v>-1.5383456367437716</v>
      </c>
      <c r="AY118" s="48">
        <f t="shared" si="89"/>
        <v>-1.6353230448216571</v>
      </c>
      <c r="AZ118" s="50">
        <f t="shared" si="73"/>
        <v>-3.6339352217763743E-2</v>
      </c>
      <c r="BA118" s="48">
        <f t="shared" si="74"/>
        <v>-2.0820915123172306</v>
      </c>
      <c r="BB118" s="52">
        <f t="shared" si="90"/>
        <v>0.57579557909747947</v>
      </c>
      <c r="BC118" s="44">
        <f t="shared" si="75"/>
        <v>4.247501636367524E-2</v>
      </c>
    </row>
    <row r="119" spans="4:55" x14ac:dyDescent="0.3">
      <c r="D119">
        <f t="shared" si="76"/>
        <v>1.1700000000000008</v>
      </c>
      <c r="F119" s="5">
        <f t="shared" si="52"/>
        <v>0.80821027933724443</v>
      </c>
      <c r="G119" s="6">
        <f t="shared" si="53"/>
        <v>46.30703796511343</v>
      </c>
      <c r="I119" s="9">
        <f t="shared" si="54"/>
        <v>0.8100808700283344</v>
      </c>
      <c r="J119" s="9">
        <f t="shared" si="55"/>
        <v>46.414214916909344</v>
      </c>
      <c r="K119" s="9">
        <f t="shared" si="56"/>
        <v>-6.0359012715033646</v>
      </c>
      <c r="L119" s="9">
        <f t="shared" si="57"/>
        <v>-0.1053463505130459</v>
      </c>
      <c r="M119" s="11">
        <f t="shared" si="47"/>
        <v>0.13937424652241925</v>
      </c>
      <c r="O119" s="15">
        <f t="shared" si="58"/>
        <v>0.86951548573659942</v>
      </c>
      <c r="P119" s="15">
        <f t="shared" si="59"/>
        <v>49.819567553974878</v>
      </c>
      <c r="Q119" s="15">
        <v>-6.0359012715033602</v>
      </c>
      <c r="R119" s="15">
        <f t="shared" si="60"/>
        <v>-0.10534635051304582</v>
      </c>
      <c r="S119" s="16">
        <f t="shared" si="48"/>
        <v>7.0131465300391493E-3</v>
      </c>
      <c r="U119" s="23">
        <f t="shared" si="77"/>
        <v>0.8609840767144773</v>
      </c>
      <c r="V119" s="23">
        <f t="shared" si="61"/>
        <v>49.330753823707447</v>
      </c>
      <c r="W119" s="23">
        <f t="shared" si="62"/>
        <v>1.1680549282687469E-2</v>
      </c>
      <c r="X119" s="23">
        <f t="shared" si="78"/>
        <v>4.0619740093596729E-2</v>
      </c>
      <c r="Y119" s="23">
        <f t="shared" si="79"/>
        <v>-1.1319199025094928E-2</v>
      </c>
      <c r="Z119" s="26">
        <f t="shared" si="63"/>
        <v>-0.10454398275744292</v>
      </c>
      <c r="AA119" s="23">
        <f t="shared" si="64"/>
        <v>-5.9899289854899296</v>
      </c>
      <c r="AB119" s="24">
        <f t="shared" si="80"/>
        <v>1.1210561516776574E-2</v>
      </c>
      <c r="AD119" s="33">
        <f t="shared" si="81"/>
        <v>0.87441088029954905</v>
      </c>
      <c r="AE119" s="33">
        <f t="shared" si="65"/>
        <v>50.100053001483182</v>
      </c>
      <c r="AF119" s="33">
        <f t="shared" si="66"/>
        <v>-1.7462543023842869E-3</v>
      </c>
      <c r="AG119" s="33">
        <f t="shared" si="82"/>
        <v>5.4475176386980698E-2</v>
      </c>
      <c r="AH119" s="33">
        <f t="shared" si="83"/>
        <v>1.6922320619339182E-3</v>
      </c>
      <c r="AI119" s="35">
        <f t="shared" si="49"/>
        <v>-0.10546630532950249</v>
      </c>
      <c r="AJ119" s="33">
        <f t="shared" si="67"/>
        <v>-6.042774176218594</v>
      </c>
      <c r="AK119" s="37">
        <f t="shared" si="84"/>
        <v>-1.6759906411094594E-3</v>
      </c>
      <c r="AM119" s="41">
        <f t="shared" si="68"/>
        <v>-0.16351538774394095</v>
      </c>
      <c r="AN119" s="41">
        <f t="shared" si="69"/>
        <v>-9.3687416031730049</v>
      </c>
      <c r="AO119" s="42">
        <f t="shared" si="70"/>
        <v>0.16351538774394095</v>
      </c>
      <c r="AP119" s="41">
        <f t="shared" si="85"/>
        <v>-0.39438447260140919</v>
      </c>
      <c r="AQ119" s="41">
        <f t="shared" si="86"/>
        <v>-4.2475016363674456E-2</v>
      </c>
      <c r="AR119" s="43">
        <f t="shared" si="50"/>
        <v>1.592678861075735</v>
      </c>
      <c r="AS119" s="41">
        <f t="shared" si="51"/>
        <v>91.253776859342381</v>
      </c>
      <c r="AU119" s="48">
        <f t="shared" si="87"/>
        <v>4.8232972154650035E-2</v>
      </c>
      <c r="AV119" s="48">
        <f t="shared" si="71"/>
        <v>2.7635457378334678</v>
      </c>
      <c r="AW119" s="49">
        <f t="shared" si="72"/>
        <v>1.544445888921085</v>
      </c>
      <c r="AX119" s="48">
        <f t="shared" si="88"/>
        <v>-1.5229011778545607</v>
      </c>
      <c r="AY119" s="48">
        <f t="shared" si="89"/>
        <v>-1.6157731543622544</v>
      </c>
      <c r="AZ119" s="50">
        <f t="shared" si="73"/>
        <v>-3.5010556361237399E-2</v>
      </c>
      <c r="BA119" s="48">
        <f t="shared" si="74"/>
        <v>-2.0059571179037996</v>
      </c>
      <c r="BB119" s="52">
        <f t="shared" si="90"/>
        <v>0.53845899363428484</v>
      </c>
      <c r="BC119" s="44">
        <f t="shared" si="75"/>
        <v>4.8232972154650035E-2</v>
      </c>
    </row>
    <row r="120" spans="4:55" x14ac:dyDescent="0.3">
      <c r="D120">
        <f t="shared" si="76"/>
        <v>1.1800000000000008</v>
      </c>
      <c r="F120" s="5">
        <f t="shared" si="52"/>
        <v>0.80962981470376771</v>
      </c>
      <c r="G120" s="6">
        <f t="shared" si="53"/>
        <v>46.388371350484775</v>
      </c>
      <c r="I120" s="9">
        <f t="shared" si="54"/>
        <v>0.81147461249355857</v>
      </c>
      <c r="J120" s="9">
        <f t="shared" si="55"/>
        <v>46.494070477894851</v>
      </c>
      <c r="K120" s="9">
        <f t="shared" si="56"/>
        <v>-6.0359012715033646</v>
      </c>
      <c r="L120" s="9">
        <f t="shared" si="57"/>
        <v>-0.1053463505130459</v>
      </c>
      <c r="M120" s="11">
        <f t="shared" si="47"/>
        <v>0.13627037710886603</v>
      </c>
      <c r="O120" s="15">
        <f t="shared" si="58"/>
        <v>0.86958561720189986</v>
      </c>
      <c r="P120" s="15">
        <f t="shared" si="59"/>
        <v>49.823585790947661</v>
      </c>
      <c r="Q120" s="15">
        <v>-6.0359012715033602</v>
      </c>
      <c r="R120" s="15">
        <f t="shared" si="60"/>
        <v>-0.10534635051304582</v>
      </c>
      <c r="S120" s="16">
        <f t="shared" si="48"/>
        <v>6.8569635080639735E-3</v>
      </c>
      <c r="U120" s="23">
        <f t="shared" si="77"/>
        <v>0.86109618232964502</v>
      </c>
      <c r="V120" s="23">
        <f t="shared" si="61"/>
        <v>49.337177002316274</v>
      </c>
      <c r="W120" s="23">
        <f t="shared" si="62"/>
        <v>1.1568443667519746E-2</v>
      </c>
      <c r="X120" s="23">
        <f t="shared" si="78"/>
        <v>4.073542453027193E-2</v>
      </c>
      <c r="Y120" s="23">
        <f t="shared" si="79"/>
        <v>-1.1210561516772355E-2</v>
      </c>
      <c r="Z120" s="26">
        <f t="shared" si="63"/>
        <v>-0.10455168358799949</v>
      </c>
      <c r="AA120" s="23">
        <f t="shared" si="64"/>
        <v>-5.9903702105795666</v>
      </c>
      <c r="AB120" s="24">
        <f t="shared" si="80"/>
        <v>1.1102966671296066E-2</v>
      </c>
      <c r="AD120" s="33">
        <f t="shared" si="81"/>
        <v>0.87439412039313791</v>
      </c>
      <c r="AE120" s="33">
        <f t="shared" si="65"/>
        <v>50.099092729580789</v>
      </c>
      <c r="AF120" s="33">
        <f t="shared" si="66"/>
        <v>-1.7294943959731413E-3</v>
      </c>
      <c r="AG120" s="33">
        <f t="shared" si="82"/>
        <v>5.4457881443020967E-2</v>
      </c>
      <c r="AH120" s="33">
        <f t="shared" si="83"/>
        <v>1.6759906411145664E-3</v>
      </c>
      <c r="AI120" s="35">
        <f t="shared" si="49"/>
        <v>-0.10546515404730122</v>
      </c>
      <c r="AJ120" s="33">
        <f t="shared" si="67"/>
        <v>-6.0427082126074323</v>
      </c>
      <c r="AK120" s="37">
        <f t="shared" si="84"/>
        <v>-1.6599050994698938E-3</v>
      </c>
      <c r="AM120" s="41">
        <f t="shared" si="68"/>
        <v>-0.16303305802239446</v>
      </c>
      <c r="AN120" s="41">
        <f t="shared" si="69"/>
        <v>-9.3411061457946705</v>
      </c>
      <c r="AO120" s="42">
        <f t="shared" si="70"/>
        <v>0.16303305802239446</v>
      </c>
      <c r="AP120" s="41">
        <f t="shared" si="85"/>
        <v>-0.39275414202118525</v>
      </c>
      <c r="AQ120" s="41">
        <f t="shared" si="86"/>
        <v>-4.8232972154649278E-2</v>
      </c>
      <c r="AR120" s="43">
        <f t="shared" si="50"/>
        <v>1.5820976080692952</v>
      </c>
      <c r="AS120" s="41">
        <f t="shared" si="51"/>
        <v>90.647515720113276</v>
      </c>
      <c r="AU120" s="48">
        <f t="shared" si="87"/>
        <v>5.361756209099288E-2</v>
      </c>
      <c r="AV120" s="48">
        <f t="shared" si="71"/>
        <v>3.0720600155945292</v>
      </c>
      <c r="AW120" s="49">
        <f t="shared" si="72"/>
        <v>1.5284800459783023</v>
      </c>
      <c r="AX120" s="48">
        <f t="shared" si="88"/>
        <v>-1.5076163773947777</v>
      </c>
      <c r="AY120" s="48">
        <f t="shared" si="89"/>
        <v>-1.5965842942782693</v>
      </c>
      <c r="AZ120" s="50">
        <f t="shared" si="73"/>
        <v>-3.3744415695657892E-2</v>
      </c>
      <c r="BA120" s="48">
        <f t="shared" si="74"/>
        <v>-1.933412601496209</v>
      </c>
      <c r="BB120" s="52">
        <f t="shared" si="90"/>
        <v>0.5031097568739461</v>
      </c>
      <c r="BC120" s="44">
        <f t="shared" si="75"/>
        <v>5.361756209099288E-2</v>
      </c>
    </row>
    <row r="121" spans="4:55" x14ac:dyDescent="0.3">
      <c r="D121">
        <f t="shared" si="76"/>
        <v>1.1900000000000008</v>
      </c>
      <c r="F121" s="5">
        <f t="shared" si="52"/>
        <v>0.81101808638116479</v>
      </c>
      <c r="G121" s="6">
        <f t="shared" si="53"/>
        <v>46.467913458417172</v>
      </c>
      <c r="I121" s="9">
        <f t="shared" si="54"/>
        <v>0.81283731626464728</v>
      </c>
      <c r="J121" s="9">
        <f t="shared" si="55"/>
        <v>46.572147652704793</v>
      </c>
      <c r="K121" s="9">
        <f t="shared" si="56"/>
        <v>-6.0359012715033646</v>
      </c>
      <c r="L121" s="9">
        <f t="shared" si="57"/>
        <v>-0.1053463505130459</v>
      </c>
      <c r="M121" s="11">
        <f t="shared" si="47"/>
        <v>0.13323563097724489</v>
      </c>
      <c r="O121" s="15">
        <f t="shared" si="58"/>
        <v>0.86965418683698048</v>
      </c>
      <c r="P121" s="15">
        <f t="shared" si="59"/>
        <v>49.827514541640532</v>
      </c>
      <c r="Q121" s="15">
        <v>-6.0359012715033602</v>
      </c>
      <c r="R121" s="15">
        <f t="shared" si="60"/>
        <v>-0.10534635051304582</v>
      </c>
      <c r="S121" s="16">
        <f t="shared" si="48"/>
        <v>6.7042586875281085E-3</v>
      </c>
      <c r="U121" s="23">
        <f t="shared" si="77"/>
        <v>0.86120721199635797</v>
      </c>
      <c r="V121" s="23">
        <f t="shared" si="61"/>
        <v>49.343538533619672</v>
      </c>
      <c r="W121" s="23">
        <f t="shared" si="62"/>
        <v>1.1457414000806798E-2</v>
      </c>
      <c r="X121" s="23">
        <f t="shared" si="78"/>
        <v>4.0849998670279997E-2</v>
      </c>
      <c r="Y121" s="23">
        <f t="shared" si="79"/>
        <v>-1.1102966671294734E-2</v>
      </c>
      <c r="Z121" s="26">
        <f t="shared" si="63"/>
        <v>-0.10455931050881712</v>
      </c>
      <c r="AA121" s="23">
        <f t="shared" si="64"/>
        <v>-5.990807200953097</v>
      </c>
      <c r="AB121" s="24">
        <f t="shared" si="80"/>
        <v>1.0996404481560029E-2</v>
      </c>
      <c r="AD121" s="33">
        <f t="shared" si="81"/>
        <v>0.87437752134214319</v>
      </c>
      <c r="AE121" s="33">
        <f t="shared" si="65"/>
        <v>50.098141674014869</v>
      </c>
      <c r="AF121" s="33">
        <f t="shared" si="66"/>
        <v>-1.7128953449784268E-3</v>
      </c>
      <c r="AG121" s="33">
        <f t="shared" si="82"/>
        <v>5.4440752489571184E-2</v>
      </c>
      <c r="AH121" s="33">
        <f t="shared" si="83"/>
        <v>1.6599050994714482E-3</v>
      </c>
      <c r="AI121" s="35">
        <f t="shared" si="49"/>
        <v>-0.10546401381468287</v>
      </c>
      <c r="AJ121" s="33">
        <f t="shared" si="67"/>
        <v>-6.0426428820907381</v>
      </c>
      <c r="AK121" s="37">
        <f t="shared" si="84"/>
        <v>-1.6439739409448428E-3</v>
      </c>
      <c r="AM121" s="41">
        <f t="shared" si="68"/>
        <v>-0.16249688240148452</v>
      </c>
      <c r="AN121" s="41">
        <f t="shared" si="69"/>
        <v>-9.3103855456387237</v>
      </c>
      <c r="AO121" s="42">
        <f t="shared" si="70"/>
        <v>0.16249688240148452</v>
      </c>
      <c r="AP121" s="41">
        <f t="shared" si="85"/>
        <v>-0.39112917319717039</v>
      </c>
      <c r="AQ121" s="41">
        <f t="shared" si="86"/>
        <v>-5.3617562090993443E-2</v>
      </c>
      <c r="AR121" s="43">
        <f t="shared" si="50"/>
        <v>1.5713512619238519</v>
      </c>
      <c r="AS121" s="41">
        <f t="shared" si="51"/>
        <v>90.031795440792692</v>
      </c>
      <c r="AU121" s="48">
        <f t="shared" si="87"/>
        <v>5.8648659659732344E-2</v>
      </c>
      <c r="AV121" s="48">
        <f t="shared" si="71"/>
        <v>3.36032067260183</v>
      </c>
      <c r="AW121" s="49">
        <f t="shared" si="72"/>
        <v>1.5127026022641195</v>
      </c>
      <c r="AX121" s="48">
        <f t="shared" si="88"/>
        <v>-1.4924893513721365</v>
      </c>
      <c r="AY121" s="48">
        <f t="shared" si="89"/>
        <v>-1.5777443714182882</v>
      </c>
      <c r="AZ121" s="50">
        <f t="shared" si="73"/>
        <v>-3.2537779926874566E-2</v>
      </c>
      <c r="BA121" s="48">
        <f t="shared" si="74"/>
        <v>-1.864277464535401</v>
      </c>
      <c r="BB121" s="52">
        <f t="shared" si="90"/>
        <v>0.4696454939313599</v>
      </c>
      <c r="BC121" s="44">
        <f t="shared" si="75"/>
        <v>5.8648659659732344E-2</v>
      </c>
    </row>
    <row r="122" spans="4:55" x14ac:dyDescent="0.3">
      <c r="D122">
        <f t="shared" si="76"/>
        <v>1.2000000000000008</v>
      </c>
      <c r="F122" s="5">
        <f t="shared" si="52"/>
        <v>0.81237578291744983</v>
      </c>
      <c r="G122" s="6">
        <f t="shared" si="53"/>
        <v>46.545703739805838</v>
      </c>
      <c r="I122" s="9">
        <f t="shared" si="54"/>
        <v>0.81416967257441974</v>
      </c>
      <c r="J122" s="9">
        <f t="shared" si="55"/>
        <v>46.648486046062381</v>
      </c>
      <c r="K122" s="9">
        <f t="shared" si="56"/>
        <v>-6.0359012715033646</v>
      </c>
      <c r="L122" s="9">
        <f t="shared" si="57"/>
        <v>-0.1053463505130459</v>
      </c>
      <c r="M122" s="11">
        <f t="shared" si="47"/>
        <v>0.13026846874961473</v>
      </c>
      <c r="O122" s="15">
        <f t="shared" si="58"/>
        <v>0.86972122942385577</v>
      </c>
      <c r="P122" s="15">
        <f t="shared" si="59"/>
        <v>49.831355798916128</v>
      </c>
      <c r="Q122" s="15">
        <v>-6.0359012715033602</v>
      </c>
      <c r="R122" s="15">
        <f t="shared" si="60"/>
        <v>-0.10534635051304582</v>
      </c>
      <c r="S122" s="16">
        <f t="shared" si="48"/>
        <v>6.554954608761987E-3</v>
      </c>
      <c r="U122" s="23">
        <f t="shared" si="77"/>
        <v>0.86131717604117353</v>
      </c>
      <c r="V122" s="23">
        <f t="shared" si="61"/>
        <v>49.349839009285787</v>
      </c>
      <c r="W122" s="23">
        <f t="shared" si="62"/>
        <v>1.134744995599124E-2</v>
      </c>
      <c r="X122" s="23">
        <f t="shared" si="78"/>
        <v>4.0963473169839906E-2</v>
      </c>
      <c r="Y122" s="23">
        <f t="shared" si="79"/>
        <v>-1.099640448155581E-2</v>
      </c>
      <c r="Z122" s="26">
        <f t="shared" si="63"/>
        <v>-0.10456686422925451</v>
      </c>
      <c r="AA122" s="23">
        <f t="shared" si="64"/>
        <v>-5.991239997253782</v>
      </c>
      <c r="AB122" s="24">
        <f t="shared" si="80"/>
        <v>1.0890865036523367E-2</v>
      </c>
      <c r="AD122" s="33">
        <f t="shared" si="81"/>
        <v>0.87436108160273374</v>
      </c>
      <c r="AE122" s="33">
        <f t="shared" si="65"/>
        <v>50.097199746330411</v>
      </c>
      <c r="AF122" s="33">
        <f t="shared" si="66"/>
        <v>-1.6964556055689695E-3</v>
      </c>
      <c r="AG122" s="33">
        <f t="shared" si="82"/>
        <v>5.4423787933515495E-2</v>
      </c>
      <c r="AH122" s="33">
        <f t="shared" si="83"/>
        <v>1.643973940945731E-3</v>
      </c>
      <c r="AI122" s="35">
        <f t="shared" si="49"/>
        <v>-0.10546288452559778</v>
      </c>
      <c r="AJ122" s="33">
        <f t="shared" si="67"/>
        <v>-6.0425781785923123</v>
      </c>
      <c r="AK122" s="37">
        <f t="shared" si="84"/>
        <v>-1.6281956838180012E-3</v>
      </c>
      <c r="AM122" s="41">
        <f t="shared" si="68"/>
        <v>-0.1619103958048872</v>
      </c>
      <c r="AN122" s="41">
        <f t="shared" si="69"/>
        <v>-9.2767823389127066</v>
      </c>
      <c r="AO122" s="42">
        <f t="shared" si="70"/>
        <v>0.1619103958048872</v>
      </c>
      <c r="AP122" s="41">
        <f t="shared" si="85"/>
        <v>-0.38951006923912151</v>
      </c>
      <c r="AQ122" s="41">
        <f t="shared" si="86"/>
        <v>-5.8648659659732427E-2</v>
      </c>
      <c r="AR122" s="43">
        <f t="shared" si="50"/>
        <v>1.5604552983891395</v>
      </c>
      <c r="AS122" s="41">
        <f t="shared" si="51"/>
        <v>89.407502716525229</v>
      </c>
      <c r="AU122" s="48">
        <f t="shared" si="87"/>
        <v>6.3345114599045946E-2</v>
      </c>
      <c r="AV122" s="48">
        <f t="shared" si="71"/>
        <v>3.6294077192978689</v>
      </c>
      <c r="AW122" s="49">
        <f t="shared" si="72"/>
        <v>1.4971101837900935</v>
      </c>
      <c r="AX122" s="48">
        <f t="shared" si="88"/>
        <v>-1.4775182495342356</v>
      </c>
      <c r="AY122" s="48">
        <f t="shared" si="89"/>
        <v>-1.5592418474025926</v>
      </c>
      <c r="AZ122" s="50">
        <f t="shared" si="73"/>
        <v>-3.1387659274702884E-2</v>
      </c>
      <c r="BA122" s="48">
        <f t="shared" si="74"/>
        <v>-1.7983804052351298</v>
      </c>
      <c r="BB122" s="52">
        <f t="shared" si="90"/>
        <v>0.43796907097195376</v>
      </c>
      <c r="BC122" s="44">
        <f t="shared" si="75"/>
        <v>6.3345114599045946E-2</v>
      </c>
    </row>
    <row r="123" spans="4:55" x14ac:dyDescent="0.3">
      <c r="D123">
        <f t="shared" si="76"/>
        <v>1.2100000000000009</v>
      </c>
      <c r="F123" s="5">
        <f t="shared" si="52"/>
        <v>0.81370357769613233</v>
      </c>
      <c r="G123" s="6">
        <f t="shared" si="53"/>
        <v>46.621780776683849</v>
      </c>
      <c r="I123" s="9">
        <f t="shared" si="54"/>
        <v>0.81547235726191591</v>
      </c>
      <c r="J123" s="9">
        <f t="shared" si="55"/>
        <v>46.723124380692234</v>
      </c>
      <c r="K123" s="9">
        <f t="shared" si="56"/>
        <v>-6.0359012715033646</v>
      </c>
      <c r="L123" s="9">
        <f t="shared" si="57"/>
        <v>-0.1053463505130459</v>
      </c>
      <c r="M123" s="11">
        <f t="shared" si="47"/>
        <v>0.127367385330037</v>
      </c>
      <c r="O123" s="15">
        <f t="shared" si="58"/>
        <v>0.86978677896994339</v>
      </c>
      <c r="P123" s="15">
        <f t="shared" si="59"/>
        <v>49.835111511255946</v>
      </c>
      <c r="Q123" s="15">
        <v>-6.0359012715033602</v>
      </c>
      <c r="R123" s="15">
        <f t="shared" si="60"/>
        <v>-0.10534635051304582</v>
      </c>
      <c r="S123" s="16">
        <f t="shared" si="48"/>
        <v>6.4089755371257162E-3</v>
      </c>
      <c r="U123" s="23">
        <f t="shared" si="77"/>
        <v>0.86142608469153881</v>
      </c>
      <c r="V123" s="23">
        <f t="shared" si="61"/>
        <v>49.356079015304189</v>
      </c>
      <c r="W123" s="23">
        <f t="shared" si="62"/>
        <v>1.123854130562596E-2</v>
      </c>
      <c r="X123" s="23">
        <f t="shared" si="78"/>
        <v>4.1075858582896169E-2</v>
      </c>
      <c r="Y123" s="23">
        <f t="shared" si="79"/>
        <v>-1.089086503652803E-2</v>
      </c>
      <c r="Z123" s="26">
        <f t="shared" si="63"/>
        <v>-0.10457434545186162</v>
      </c>
      <c r="AA123" s="23">
        <f t="shared" si="64"/>
        <v>-5.9916686397347663</v>
      </c>
      <c r="AB123" s="24">
        <f t="shared" si="80"/>
        <v>1.0786338520250682E-2</v>
      </c>
      <c r="AD123" s="33">
        <f t="shared" si="81"/>
        <v>0.87434479964589551</v>
      </c>
      <c r="AE123" s="33">
        <f t="shared" si="65"/>
        <v>50.096266858921368</v>
      </c>
      <c r="AF123" s="33">
        <f t="shared" si="66"/>
        <v>-1.6801736487307428E-3</v>
      </c>
      <c r="AG123" s="33">
        <f t="shared" si="82"/>
        <v>5.440698619702819E-2</v>
      </c>
      <c r="AH123" s="33">
        <f t="shared" si="83"/>
        <v>1.6281956838226641E-3</v>
      </c>
      <c r="AI123" s="35">
        <f t="shared" si="49"/>
        <v>-0.10546176607501401</v>
      </c>
      <c r="AJ123" s="33">
        <f t="shared" si="67"/>
        <v>-6.0425140960942683</v>
      </c>
      <c r="AK123" s="37">
        <f t="shared" si="84"/>
        <v>-1.6125688605965749E-3</v>
      </c>
      <c r="AM123" s="41">
        <f t="shared" si="68"/>
        <v>-0.16127694465889675</v>
      </c>
      <c r="AN123" s="41">
        <f t="shared" si="69"/>
        <v>-9.2404882617197277</v>
      </c>
      <c r="AO123" s="42">
        <f t="shared" si="70"/>
        <v>0.16127694465889675</v>
      </c>
      <c r="AP123" s="41">
        <f t="shared" si="85"/>
        <v>-0.38789729979253257</v>
      </c>
      <c r="AQ123" s="41">
        <f t="shared" si="86"/>
        <v>-6.3345114599044905E-2</v>
      </c>
      <c r="AR123" s="43">
        <f t="shared" si="50"/>
        <v>1.5494243319899226</v>
      </c>
      <c r="AS123" s="41">
        <f t="shared" si="51"/>
        <v>88.775474897899471</v>
      </c>
      <c r="AU123" s="48">
        <f t="shared" si="87"/>
        <v>6.7724805308765484E-2</v>
      </c>
      <c r="AV123" s="48">
        <f t="shared" si="71"/>
        <v>3.8803455125374544</v>
      </c>
      <c r="AW123" s="49">
        <f t="shared" si="72"/>
        <v>1.481699526681157</v>
      </c>
      <c r="AX123" s="48">
        <f t="shared" si="88"/>
        <v>-1.462701254267424</v>
      </c>
      <c r="AY123" s="48">
        <f t="shared" si="89"/>
        <v>-1.5410657108936521</v>
      </c>
      <c r="AZ123" s="50">
        <f t="shared" si="73"/>
        <v>-3.029121627299769E-2</v>
      </c>
      <c r="BA123" s="48">
        <f t="shared" si="74"/>
        <v>-1.7355588487607669</v>
      </c>
      <c r="BB123" s="52">
        <f t="shared" si="90"/>
        <v>0.40798832722123185</v>
      </c>
      <c r="BC123" s="44">
        <f t="shared" si="75"/>
        <v>6.7724805308765484E-2</v>
      </c>
    </row>
    <row r="124" spans="4:55" x14ac:dyDescent="0.3">
      <c r="D124">
        <f t="shared" si="76"/>
        <v>1.2200000000000009</v>
      </c>
      <c r="F124" s="5">
        <f t="shared" si="52"/>
        <v>0.81500212927019777</v>
      </c>
      <c r="G124" s="6">
        <f t="shared" si="53"/>
        <v>46.696182301357865</v>
      </c>
      <c r="I124" s="9">
        <f t="shared" si="54"/>
        <v>0.81674603111521626</v>
      </c>
      <c r="J124" s="9">
        <f t="shared" si="55"/>
        <v>46.796100516962504</v>
      </c>
      <c r="K124" s="9">
        <f t="shared" si="56"/>
        <v>-6.0359012715033646</v>
      </c>
      <c r="L124" s="9">
        <f t="shared" si="57"/>
        <v>-0.1053463505130459</v>
      </c>
      <c r="M124" s="11">
        <f t="shared" si="47"/>
        <v>0.12453090914111287</v>
      </c>
      <c r="O124" s="15">
        <f t="shared" si="58"/>
        <v>0.8698508687253147</v>
      </c>
      <c r="P124" s="15">
        <f t="shared" si="59"/>
        <v>49.83878358374875</v>
      </c>
      <c r="Q124" s="15">
        <v>-6.0359012715033602</v>
      </c>
      <c r="R124" s="15">
        <f t="shared" si="60"/>
        <v>-0.10534635051304582</v>
      </c>
      <c r="S124" s="16">
        <f t="shared" si="48"/>
        <v>6.2662474245922528E-3</v>
      </c>
      <c r="U124" s="23">
        <f t="shared" si="77"/>
        <v>0.86153394807674133</v>
      </c>
      <c r="V124" s="23">
        <f t="shared" si="61"/>
        <v>49.362259132040286</v>
      </c>
      <c r="W124" s="23">
        <f t="shared" si="62"/>
        <v>1.1130677920423437E-2</v>
      </c>
      <c r="X124" s="23">
        <f t="shared" si="78"/>
        <v>4.1187165362100403E-2</v>
      </c>
      <c r="Y124" s="23">
        <f t="shared" si="79"/>
        <v>-1.0786338520252237E-2</v>
      </c>
      <c r="Z124" s="26">
        <f t="shared" si="63"/>
        <v>-0.10458175487244642</v>
      </c>
      <c r="AA124" s="23">
        <f t="shared" si="64"/>
        <v>-5.9920931682629126</v>
      </c>
      <c r="AB124" s="24">
        <f t="shared" si="80"/>
        <v>1.0682815211033425E-2</v>
      </c>
      <c r="AD124" s="33">
        <f t="shared" si="81"/>
        <v>0.87432867395728953</v>
      </c>
      <c r="AE124" s="33">
        <f t="shared" si="65"/>
        <v>50.0953429250225</v>
      </c>
      <c r="AF124" s="33">
        <f t="shared" si="66"/>
        <v>-1.6640479601247593E-3</v>
      </c>
      <c r="AG124" s="33">
        <f t="shared" si="82"/>
        <v>5.4390345717426944E-2</v>
      </c>
      <c r="AH124" s="33">
        <f t="shared" si="83"/>
        <v>1.6125688605983513E-3</v>
      </c>
      <c r="AI124" s="35">
        <f t="shared" si="49"/>
        <v>-0.10546065835890736</v>
      </c>
      <c r="AJ124" s="33">
        <f t="shared" si="67"/>
        <v>-6.0424506286364581</v>
      </c>
      <c r="AK124" s="37">
        <f t="shared" si="84"/>
        <v>-1.5970920178782766E-3</v>
      </c>
      <c r="AM124" s="41">
        <f t="shared" si="68"/>
        <v>-0.16059969660580908</v>
      </c>
      <c r="AN124" s="41">
        <f t="shared" si="69"/>
        <v>-9.2016848065943524</v>
      </c>
      <c r="AO124" s="42">
        <f t="shared" si="70"/>
        <v>0.16059969660580908</v>
      </c>
      <c r="AP124" s="41">
        <f t="shared" si="85"/>
        <v>-0.3862913028264745</v>
      </c>
      <c r="AQ124" s="41">
        <f t="shared" si="86"/>
        <v>-6.7724805308766456E-2</v>
      </c>
      <c r="AR124" s="43">
        <f t="shared" si="50"/>
        <v>1.5382721607493244</v>
      </c>
      <c r="AS124" s="41">
        <f t="shared" si="51"/>
        <v>88.136502553406018</v>
      </c>
      <c r="AU124" s="48">
        <f t="shared" si="87"/>
        <v>7.1804688580977799E-2</v>
      </c>
      <c r="AV124" s="48">
        <f t="shared" si="71"/>
        <v>4.1141056049412441</v>
      </c>
      <c r="AW124" s="49">
        <f t="shared" si="72"/>
        <v>1.4664674721683466</v>
      </c>
      <c r="AX124" s="48">
        <f t="shared" si="88"/>
        <v>-1.4480365795457406</v>
      </c>
      <c r="AY124" s="48">
        <f t="shared" si="89"/>
        <v>-1.52320545128104</v>
      </c>
      <c r="AZ124" s="50">
        <f t="shared" si="73"/>
        <v>-2.9245757988806798E-2</v>
      </c>
      <c r="BA124" s="48">
        <f t="shared" si="74"/>
        <v>-1.6756585014196401</v>
      </c>
      <c r="BB124" s="52">
        <f t="shared" si="90"/>
        <v>0.37961582067366234</v>
      </c>
      <c r="BC124" s="44">
        <f t="shared" si="75"/>
        <v>7.1804688580977799E-2</v>
      </c>
    </row>
    <row r="125" spans="4:55" x14ac:dyDescent="0.3">
      <c r="D125">
        <f t="shared" si="76"/>
        <v>1.2300000000000009</v>
      </c>
      <c r="F125" s="5">
        <f t="shared" si="52"/>
        <v>0.81627208168873444</v>
      </c>
      <c r="G125" s="6">
        <f t="shared" si="53"/>
        <v>46.76894521512245</v>
      </c>
      <c r="I125" s="9">
        <f t="shared" si="54"/>
        <v>0.81799134020662745</v>
      </c>
      <c r="J125" s="9">
        <f t="shared" si="55"/>
        <v>46.867451472089634</v>
      </c>
      <c r="K125" s="9">
        <f t="shared" si="56"/>
        <v>-6.0359012715033646</v>
      </c>
      <c r="L125" s="9">
        <f t="shared" si="57"/>
        <v>-0.1053463505130459</v>
      </c>
      <c r="M125" s="11">
        <f t="shared" si="47"/>
        <v>0.12175760137752301</v>
      </c>
      <c r="O125" s="15">
        <f t="shared" si="58"/>
        <v>0.86991353119956061</v>
      </c>
      <c r="P125" s="15">
        <f t="shared" si="59"/>
        <v>49.842373879056886</v>
      </c>
      <c r="Q125" s="15">
        <v>-6.0359012715033602</v>
      </c>
      <c r="R125" s="15">
        <f t="shared" si="60"/>
        <v>-0.10534635051304582</v>
      </c>
      <c r="S125" s="16">
        <f t="shared" si="48"/>
        <v>6.1266978721874477E-3</v>
      </c>
      <c r="U125" s="23">
        <f t="shared" si="77"/>
        <v>0.86164077622885171</v>
      </c>
      <c r="V125" s="23">
        <f t="shared" si="61"/>
        <v>49.368379934289393</v>
      </c>
      <c r="W125" s="23">
        <f t="shared" si="62"/>
        <v>1.1023849768313054E-2</v>
      </c>
      <c r="X125" s="23">
        <f t="shared" si="78"/>
        <v>4.1297403859783532E-2</v>
      </c>
      <c r="Y125" s="23">
        <f t="shared" si="79"/>
        <v>-1.068281521103831E-2</v>
      </c>
      <c r="Z125" s="26">
        <f t="shared" si="63"/>
        <v>-0.10458909318013798</v>
      </c>
      <c r="AA125" s="23">
        <f t="shared" si="64"/>
        <v>-5.9925136223224076</v>
      </c>
      <c r="AB125" s="24">
        <f t="shared" si="80"/>
        <v>1.0580285480453977E-2</v>
      </c>
      <c r="AD125" s="33">
        <f t="shared" si="81"/>
        <v>0.87431270303711073</v>
      </c>
      <c r="AE125" s="33">
        <f t="shared" si="65"/>
        <v>50.094427858701316</v>
      </c>
      <c r="AF125" s="33">
        <f t="shared" si="66"/>
        <v>-1.648077039945961E-3</v>
      </c>
      <c r="AG125" s="33">
        <f t="shared" si="82"/>
        <v>5.4373864947027485E-2</v>
      </c>
      <c r="AH125" s="33">
        <f t="shared" si="83"/>
        <v>1.5970920178798309E-3</v>
      </c>
      <c r="AI125" s="35">
        <f t="shared" si="49"/>
        <v>-0.10545956127425245</v>
      </c>
      <c r="AJ125" s="33">
        <f t="shared" si="67"/>
        <v>-6.0423877703159636</v>
      </c>
      <c r="AK125" s="37">
        <f t="shared" si="84"/>
        <v>-1.5817637162029996E-3</v>
      </c>
      <c r="AM125" s="41">
        <f t="shared" si="68"/>
        <v>-0.1598816497199993</v>
      </c>
      <c r="AN125" s="41">
        <f t="shared" si="69"/>
        <v>-9.1605437505449405</v>
      </c>
      <c r="AO125" s="42">
        <f t="shared" si="70"/>
        <v>0.1598816497199993</v>
      </c>
      <c r="AP125" s="41">
        <f t="shared" si="85"/>
        <v>-0.3846924863292745</v>
      </c>
      <c r="AQ125" s="41">
        <f t="shared" si="86"/>
        <v>-7.1804688580978659E-2</v>
      </c>
      <c r="AR125" s="43">
        <f t="shared" si="50"/>
        <v>1.5270118086190143</v>
      </c>
      <c r="AS125" s="41">
        <f t="shared" si="51"/>
        <v>87.491331900508101</v>
      </c>
      <c r="AU125" s="48">
        <f t="shared" si="87"/>
        <v>7.5600846787714421E-2</v>
      </c>
      <c r="AV125" s="48">
        <f t="shared" si="71"/>
        <v>4.3316094485512036</v>
      </c>
      <c r="AW125" s="49">
        <f t="shared" si="72"/>
        <v>1.4514109618312998</v>
      </c>
      <c r="AX125" s="48">
        <f t="shared" si="88"/>
        <v>-1.4335224699274276</v>
      </c>
      <c r="AY125" s="48">
        <f t="shared" si="89"/>
        <v>-1.5056510337046802</v>
      </c>
      <c r="AZ125" s="50">
        <f t="shared" si="73"/>
        <v>-2.824872863922101E-2</v>
      </c>
      <c r="BA125" s="48">
        <f t="shared" si="74"/>
        <v>-1.618532927637701</v>
      </c>
      <c r="BB125" s="52">
        <f t="shared" si="90"/>
        <v>0.35276858680133349</v>
      </c>
      <c r="BC125" s="44">
        <f t="shared" si="75"/>
        <v>7.5600846787714421E-2</v>
      </c>
    </row>
    <row r="126" spans="4:55" x14ac:dyDescent="0.3">
      <c r="D126">
        <f t="shared" si="76"/>
        <v>1.2400000000000009</v>
      </c>
      <c r="F126" s="5">
        <f t="shared" si="52"/>
        <v>0.81751406481636457</v>
      </c>
      <c r="G126" s="6">
        <f t="shared" si="53"/>
        <v>46.840105606562112</v>
      </c>
      <c r="I126" s="9">
        <f t="shared" si="54"/>
        <v>0.81920891622040271</v>
      </c>
      <c r="J126" s="9">
        <f t="shared" si="55"/>
        <v>46.937213438915322</v>
      </c>
      <c r="K126" s="9">
        <f t="shared" si="56"/>
        <v>-6.0359012715033646</v>
      </c>
      <c r="L126" s="9">
        <f t="shared" si="57"/>
        <v>-0.1053463505130459</v>
      </c>
      <c r="M126" s="11">
        <f t="shared" si="47"/>
        <v>0.11904605527619583</v>
      </c>
      <c r="O126" s="15">
        <f t="shared" si="58"/>
        <v>0.86997479817828249</v>
      </c>
      <c r="P126" s="15">
        <f t="shared" si="59"/>
        <v>49.845884218361164</v>
      </c>
      <c r="Q126" s="15">
        <v>-6.0359012715033602</v>
      </c>
      <c r="R126" s="15">
        <f t="shared" si="60"/>
        <v>-0.10534635051304582</v>
      </c>
      <c r="S126" s="16">
        <f t="shared" si="48"/>
        <v>5.9902560932645343E-3</v>
      </c>
      <c r="U126" s="23">
        <f t="shared" si="77"/>
        <v>0.86174657908365626</v>
      </c>
      <c r="V126" s="23">
        <f t="shared" si="61"/>
        <v>49.37444199133013</v>
      </c>
      <c r="W126" s="23">
        <f t="shared" si="62"/>
        <v>1.0918046913508506E-2</v>
      </c>
      <c r="X126" s="23">
        <f t="shared" si="78"/>
        <v>4.1406584328918618E-2</v>
      </c>
      <c r="Y126" s="23">
        <f t="shared" si="79"/>
        <v>-1.0580285480454865E-2</v>
      </c>
      <c r="Z126" s="26">
        <f t="shared" si="63"/>
        <v>-0.10459636105745197</v>
      </c>
      <c r="AA126" s="23">
        <f t="shared" si="64"/>
        <v>-5.9929300410185187</v>
      </c>
      <c r="AB126" s="24">
        <f t="shared" si="80"/>
        <v>1.0478739792514125E-2</v>
      </c>
      <c r="AD126" s="33">
        <f t="shared" si="81"/>
        <v>0.87429688539994865</v>
      </c>
      <c r="AE126" s="33">
        <f t="shared" si="65"/>
        <v>50.093521574850058</v>
      </c>
      <c r="AF126" s="33">
        <f t="shared" si="66"/>
        <v>-1.6322594027838866E-3</v>
      </c>
      <c r="AG126" s="33">
        <f t="shared" si="82"/>
        <v>5.4357542352999645E-2</v>
      </c>
      <c r="AH126" s="33">
        <f t="shared" si="83"/>
        <v>1.5817637162074405E-3</v>
      </c>
      <c r="AI126" s="35">
        <f t="shared" si="49"/>
        <v>-0.10545847471901255</v>
      </c>
      <c r="AJ126" s="33">
        <f t="shared" si="67"/>
        <v>-6.0423255152865094</v>
      </c>
      <c r="AK126" s="37">
        <f t="shared" si="84"/>
        <v>-1.5665825299269187E-3</v>
      </c>
      <c r="AM126" s="41">
        <f t="shared" si="68"/>
        <v>-0.15912564125212214</v>
      </c>
      <c r="AN126" s="41">
        <f t="shared" si="69"/>
        <v>-9.117227656059427</v>
      </c>
      <c r="AO126" s="42">
        <f t="shared" si="70"/>
        <v>0.15912564125212214</v>
      </c>
      <c r="AP126" s="41">
        <f t="shared" si="85"/>
        <v>-0.38310122991675327</v>
      </c>
      <c r="AQ126" s="41">
        <f t="shared" si="86"/>
        <v>-7.5600846787715614E-2</v>
      </c>
      <c r="AR126" s="43">
        <f t="shared" si="50"/>
        <v>1.5156555657335058</v>
      </c>
      <c r="AS126" s="41">
        <f t="shared" si="51"/>
        <v>86.840667112042993</v>
      </c>
      <c r="AU126" s="48">
        <f t="shared" si="87"/>
        <v>7.9128532655727751E-2</v>
      </c>
      <c r="AV126" s="48">
        <f t="shared" si="71"/>
        <v>4.5337309602363121</v>
      </c>
      <c r="AW126" s="49">
        <f t="shared" si="72"/>
        <v>1.436527033077778</v>
      </c>
      <c r="AX126" s="48">
        <f t="shared" si="88"/>
        <v>-1.4191571995966499</v>
      </c>
      <c r="AY126" s="48">
        <f t="shared" si="89"/>
        <v>-1.4883928753521847</v>
      </c>
      <c r="AZ126" s="50">
        <f t="shared" si="73"/>
        <v>-2.7297702585495243E-2</v>
      </c>
      <c r="BA126" s="48">
        <f t="shared" si="74"/>
        <v>-1.5640431485522326</v>
      </c>
      <c r="BB126" s="52">
        <f t="shared" si="90"/>
        <v>0.32736790959606354</v>
      </c>
      <c r="BC126" s="44">
        <f t="shared" si="75"/>
        <v>7.9128532655727751E-2</v>
      </c>
    </row>
    <row r="127" spans="4:55" x14ac:dyDescent="0.3">
      <c r="D127">
        <f t="shared" si="76"/>
        <v>1.2500000000000009</v>
      </c>
      <c r="F127" s="5">
        <f t="shared" si="52"/>
        <v>0.81872869464564246</v>
      </c>
      <c r="G127" s="6">
        <f t="shared" si="53"/>
        <v>46.909698769450436</v>
      </c>
      <c r="I127" s="9">
        <f t="shared" si="54"/>
        <v>0.82039937677316466</v>
      </c>
      <c r="J127" s="9">
        <f t="shared" si="55"/>
        <v>47.005421804265396</v>
      </c>
      <c r="K127" s="9">
        <f t="shared" si="56"/>
        <v>-6.0359012715033646</v>
      </c>
      <c r="L127" s="9">
        <f t="shared" si="57"/>
        <v>-0.1053463505130459</v>
      </c>
      <c r="M127" s="11">
        <f t="shared" si="47"/>
        <v>0.11639489540272185</v>
      </c>
      <c r="O127" s="15">
        <f t="shared" si="58"/>
        <v>0.87003470073921518</v>
      </c>
      <c r="P127" s="15">
        <f t="shared" si="59"/>
        <v>49.849316382284634</v>
      </c>
      <c r="Q127" s="15">
        <v>-6.0359012715033602</v>
      </c>
      <c r="R127" s="15">
        <f t="shared" si="60"/>
        <v>-0.10534635051304582</v>
      </c>
      <c r="S127" s="16">
        <f t="shared" si="48"/>
        <v>5.8568528775975182E-3</v>
      </c>
      <c r="U127" s="23">
        <f t="shared" si="77"/>
        <v>0.86185136648158145</v>
      </c>
      <c r="V127" s="23">
        <f t="shared" si="61"/>
        <v>49.380445866977396</v>
      </c>
      <c r="W127" s="23">
        <f t="shared" si="62"/>
        <v>1.0813259515583318E-2</v>
      </c>
      <c r="X127" s="23">
        <f t="shared" si="78"/>
        <v>4.1514716924074449E-2</v>
      </c>
      <c r="Y127" s="23">
        <f t="shared" si="79"/>
        <v>-1.0478739792518788E-2</v>
      </c>
      <c r="Z127" s="26">
        <f t="shared" si="63"/>
        <v>-0.10460355918035294</v>
      </c>
      <c r="AA127" s="23">
        <f t="shared" si="64"/>
        <v>-5.9933424630811603</v>
      </c>
      <c r="AB127" s="24">
        <f t="shared" si="80"/>
        <v>1.037816870272934E-2</v>
      </c>
      <c r="AD127" s="33">
        <f t="shared" si="81"/>
        <v>0.87428121957464944</v>
      </c>
      <c r="AE127" s="33">
        <f t="shared" si="65"/>
        <v>50.092623989177824</v>
      </c>
      <c r="AF127" s="33">
        <f t="shared" si="66"/>
        <v>-1.6165935774846707E-3</v>
      </c>
      <c r="AG127" s="33">
        <f t="shared" si="82"/>
        <v>5.43413764172248E-2</v>
      </c>
      <c r="AH127" s="33">
        <f t="shared" si="83"/>
        <v>1.5665825299215896E-3</v>
      </c>
      <c r="AI127" s="35">
        <f t="shared" si="49"/>
        <v>-0.10545739859212987</v>
      </c>
      <c r="AJ127" s="33">
        <f t="shared" si="67"/>
        <v>-6.0422638577579111</v>
      </c>
      <c r="AK127" s="37">
        <f t="shared" si="84"/>
        <v>-1.5515470470970349E-3</v>
      </c>
      <c r="AM127" s="41">
        <f t="shared" si="68"/>
        <v>-0.15833435592556486</v>
      </c>
      <c r="AN127" s="41">
        <f t="shared" si="69"/>
        <v>-9.0718903464570637</v>
      </c>
      <c r="AO127" s="42">
        <f t="shared" si="70"/>
        <v>0.15833435592556486</v>
      </c>
      <c r="AP127" s="41">
        <f t="shared" si="85"/>
        <v>-0.38151788635749762</v>
      </c>
      <c r="AQ127" s="41">
        <f t="shared" si="86"/>
        <v>-7.912853265572839E-2</v>
      </c>
      <c r="AR127" s="43">
        <f t="shared" si="50"/>
        <v>1.5042150265999203</v>
      </c>
      <c r="AS127" s="41">
        <f t="shared" si="51"/>
        <v>86.185172504334304</v>
      </c>
      <c r="AU127" s="48">
        <f t="shared" si="87"/>
        <v>8.2402211751688381E-2</v>
      </c>
      <c r="AV127" s="48">
        <f t="shared" si="71"/>
        <v>4.7212989559150582</v>
      </c>
      <c r="AW127" s="49">
        <f t="shared" si="72"/>
        <v>1.4218128148482321</v>
      </c>
      <c r="AX127" s="48">
        <f t="shared" si="88"/>
        <v>-1.4049390714481675</v>
      </c>
      <c r="AY127" s="48">
        <f t="shared" si="89"/>
        <v>-1.4714218229545883</v>
      </c>
      <c r="AZ127" s="50">
        <f t="shared" si="73"/>
        <v>-2.6390377685356126E-2</v>
      </c>
      <c r="BA127" s="48">
        <f t="shared" si="74"/>
        <v>-1.5120572611271323</v>
      </c>
      <c r="BB127" s="52">
        <f t="shared" si="90"/>
        <v>0.30333910431823013</v>
      </c>
      <c r="BC127" s="44">
        <f t="shared" si="75"/>
        <v>8.2402211751688381E-2</v>
      </c>
    </row>
    <row r="128" spans="4:55" x14ac:dyDescent="0.3">
      <c r="D128">
        <f t="shared" si="76"/>
        <v>1.2600000000000009</v>
      </c>
      <c r="F128" s="5">
        <f t="shared" si="52"/>
        <v>0.81991657360257042</v>
      </c>
      <c r="G128" s="6">
        <f t="shared" si="53"/>
        <v>46.977759220254811</v>
      </c>
      <c r="I128" s="9">
        <f t="shared" si="54"/>
        <v>0.82156332572719193</v>
      </c>
      <c r="J128" s="9">
        <f t="shared" si="55"/>
        <v>47.072111166899823</v>
      </c>
      <c r="K128" s="9">
        <f t="shared" si="56"/>
        <v>-6.0359012715033646</v>
      </c>
      <c r="L128" s="9">
        <f t="shared" si="57"/>
        <v>-0.1053463505130459</v>
      </c>
      <c r="M128" s="11">
        <f t="shared" si="47"/>
        <v>0.11380277695366448</v>
      </c>
      <c r="O128" s="15">
        <f t="shared" si="58"/>
        <v>0.87009326926799113</v>
      </c>
      <c r="P128" s="15">
        <f t="shared" si="59"/>
        <v>49.85267211179579</v>
      </c>
      <c r="Q128" s="15">
        <v>-6.0359012715033602</v>
      </c>
      <c r="R128" s="15">
        <f t="shared" si="60"/>
        <v>-0.10534635051304582</v>
      </c>
      <c r="S128" s="16">
        <f t="shared" si="48"/>
        <v>5.72642055627548E-3</v>
      </c>
      <c r="U128" s="23">
        <f t="shared" si="77"/>
        <v>0.86195514816860874</v>
      </c>
      <c r="V128" s="23">
        <f t="shared" si="61"/>
        <v>49.386392119634813</v>
      </c>
      <c r="W128" s="23">
        <f t="shared" si="62"/>
        <v>1.0709477828556024E-2</v>
      </c>
      <c r="X128" s="23">
        <f t="shared" si="78"/>
        <v>4.1621811702360012E-2</v>
      </c>
      <c r="Y128" s="23">
        <f t="shared" si="79"/>
        <v>-1.037816870272934E-2</v>
      </c>
      <c r="Z128" s="26">
        <f t="shared" si="63"/>
        <v>-0.10461068821831843</v>
      </c>
      <c r="AA128" s="23">
        <f t="shared" si="64"/>
        <v>-5.9937509268685716</v>
      </c>
      <c r="AB128" s="24">
        <f t="shared" si="80"/>
        <v>1.0278562857271689E-2</v>
      </c>
      <c r="AD128" s="33">
        <f t="shared" si="81"/>
        <v>0.87426570410417848</v>
      </c>
      <c r="AE128" s="33">
        <f t="shared" si="65"/>
        <v>50.091735018202684</v>
      </c>
      <c r="AF128" s="33">
        <f t="shared" si="66"/>
        <v>-1.6010781070137092E-3</v>
      </c>
      <c r="AG128" s="33">
        <f t="shared" si="82"/>
        <v>5.4325365636154664E-2</v>
      </c>
      <c r="AH128" s="33">
        <f t="shared" si="83"/>
        <v>1.5515470470961468E-3</v>
      </c>
      <c r="AI128" s="35">
        <f t="shared" si="49"/>
        <v>-0.10545633279351739</v>
      </c>
      <c r="AJ128" s="33">
        <f t="shared" si="67"/>
        <v>-6.0422027919956056</v>
      </c>
      <c r="AK128" s="37">
        <f t="shared" si="84"/>
        <v>-1.5366558692959664E-3</v>
      </c>
      <c r="AM128" s="41">
        <f t="shared" si="68"/>
        <v>-0.15751033380804796</v>
      </c>
      <c r="AN128" s="41">
        <f t="shared" si="69"/>
        <v>-9.0246773568979126</v>
      </c>
      <c r="AO128" s="42">
        <f t="shared" si="70"/>
        <v>0.15751033380804796</v>
      </c>
      <c r="AP128" s="41">
        <f t="shared" si="85"/>
        <v>-0.37994278301941714</v>
      </c>
      <c r="AQ128" s="41">
        <f t="shared" si="86"/>
        <v>-8.2402211751689269E-2</v>
      </c>
      <c r="AR128" s="43">
        <f t="shared" si="50"/>
        <v>1.4927011263287904</v>
      </c>
      <c r="AS128" s="41">
        <f t="shared" si="51"/>
        <v>85.52547461306402</v>
      </c>
      <c r="AU128" s="48">
        <f t="shared" si="87"/>
        <v>8.5435602794870683E-2</v>
      </c>
      <c r="AV128" s="48">
        <f t="shared" si="71"/>
        <v>4.8950994603021902</v>
      </c>
      <c r="AW128" s="49">
        <f t="shared" si="72"/>
        <v>1.4072655235339198</v>
      </c>
      <c r="AX128" s="48">
        <f t="shared" si="88"/>
        <v>-1.3908664162128284</v>
      </c>
      <c r="AY128" s="48">
        <f t="shared" si="89"/>
        <v>-1.4547291314312316</v>
      </c>
      <c r="AZ128" s="50">
        <f t="shared" si="73"/>
        <v>-2.5524568985026641E-2</v>
      </c>
      <c r="BA128" s="48">
        <f t="shared" si="74"/>
        <v>-1.4624500767325459</v>
      </c>
      <c r="BB128" s="52">
        <f t="shared" si="90"/>
        <v>0.2806113113508808</v>
      </c>
      <c r="BC128" s="44">
        <f t="shared" si="75"/>
        <v>8.5435602794870683E-2</v>
      </c>
    </row>
    <row r="129" spans="4:55" x14ac:dyDescent="0.3">
      <c r="D129">
        <f t="shared" si="76"/>
        <v>1.2700000000000009</v>
      </c>
      <c r="F129" s="5">
        <f t="shared" si="52"/>
        <v>0.82107829084538764</v>
      </c>
      <c r="G129" s="6">
        <f t="shared" si="53"/>
        <v>47.044320715255807</v>
      </c>
      <c r="I129" s="9">
        <f t="shared" si="54"/>
        <v>0.82270135349672857</v>
      </c>
      <c r="J129" s="9">
        <f t="shared" si="55"/>
        <v>47.13731535506296</v>
      </c>
      <c r="K129" s="9">
        <f t="shared" si="56"/>
        <v>-6.0359012715033646</v>
      </c>
      <c r="L129" s="9">
        <f t="shared" si="57"/>
        <v>-0.1053463505130459</v>
      </c>
      <c r="M129" s="11">
        <f t="shared" si="47"/>
        <v>0.11126838507440806</v>
      </c>
      <c r="O129" s="15">
        <f t="shared" si="58"/>
        <v>0.87015053347355387</v>
      </c>
      <c r="P129" s="15">
        <f t="shared" si="59"/>
        <v>49.855953109091701</v>
      </c>
      <c r="Q129" s="15">
        <v>-6.0359012715033602</v>
      </c>
      <c r="R129" s="15">
        <f t="shared" si="60"/>
        <v>-0.10534635051304582</v>
      </c>
      <c r="S129" s="16">
        <f t="shared" si="48"/>
        <v>5.5988929673751464E-3</v>
      </c>
      <c r="U129" s="23">
        <f t="shared" si="77"/>
        <v>0.86205793379718143</v>
      </c>
      <c r="V129" s="23">
        <f t="shared" si="61"/>
        <v>49.392281302346625</v>
      </c>
      <c r="W129" s="23">
        <f t="shared" si="62"/>
        <v>1.0606692199983336E-2</v>
      </c>
      <c r="X129" s="23">
        <f t="shared" si="78"/>
        <v>4.1727878624359845E-2</v>
      </c>
      <c r="Y129" s="23">
        <f t="shared" si="79"/>
        <v>-1.0278562857268803E-2</v>
      </c>
      <c r="Z129" s="26">
        <f t="shared" si="63"/>
        <v>-0.10461774883440002</v>
      </c>
      <c r="AA129" s="23">
        <f t="shared" si="64"/>
        <v>-5.9941554703708082</v>
      </c>
      <c r="AB129" s="24">
        <f t="shared" si="80"/>
        <v>1.0179912992076989E-2</v>
      </c>
      <c r="AD129" s="33">
        <f t="shared" si="81"/>
        <v>0.87425033754548553</v>
      </c>
      <c r="AE129" s="33">
        <f t="shared" si="65"/>
        <v>50.090854579243938</v>
      </c>
      <c r="AF129" s="33">
        <f t="shared" si="66"/>
        <v>-1.5857115483207673E-3</v>
      </c>
      <c r="AG129" s="33">
        <f t="shared" si="82"/>
        <v>5.4309508520671457E-2</v>
      </c>
      <c r="AH129" s="33">
        <f t="shared" si="83"/>
        <v>1.5366558692941901E-3</v>
      </c>
      <c r="AI129" s="35">
        <f t="shared" si="49"/>
        <v>-0.10545527722404785</v>
      </c>
      <c r="AJ129" s="33">
        <f t="shared" si="67"/>
        <v>-6.042142312320018</v>
      </c>
      <c r="AK129" s="37">
        <f t="shared" si="84"/>
        <v>-1.5219076115426944E-3</v>
      </c>
      <c r="AM129" s="41">
        <f t="shared" si="68"/>
        <v>-0.15665597778009926</v>
      </c>
      <c r="AN129" s="41">
        <f t="shared" si="69"/>
        <v>-8.9757263622948908</v>
      </c>
      <c r="AO129" s="42">
        <f t="shared" si="70"/>
        <v>0.15665597778009926</v>
      </c>
      <c r="AP129" s="41">
        <f t="shared" si="85"/>
        <v>-0.37837622324161613</v>
      </c>
      <c r="AQ129" s="41">
        <f t="shared" si="86"/>
        <v>-8.5435602794869947E-2</v>
      </c>
      <c r="AR129" s="43">
        <f t="shared" si="50"/>
        <v>1.4811241750061228</v>
      </c>
      <c r="AS129" s="41">
        <f t="shared" si="51"/>
        <v>84.862164162646764</v>
      </c>
      <c r="AU129" s="48">
        <f t="shared" si="87"/>
        <v>8.8241715908379495E-2</v>
      </c>
      <c r="AV129" s="48">
        <f t="shared" si="71"/>
        <v>5.0558778985425601</v>
      </c>
      <c r="AW129" s="49">
        <f t="shared" si="72"/>
        <v>1.3928824590977433</v>
      </c>
      <c r="AX129" s="48">
        <f t="shared" si="88"/>
        <v>-1.3769375916218509</v>
      </c>
      <c r="AY129" s="48">
        <f t="shared" si="89"/>
        <v>-1.4383064436176429</v>
      </c>
      <c r="AZ129" s="50">
        <f t="shared" si="73"/>
        <v>-2.4698202733696606E-2</v>
      </c>
      <c r="BA129" s="48">
        <f t="shared" si="74"/>
        <v>-1.4151027781992878</v>
      </c>
      <c r="BB129" s="52">
        <f t="shared" si="90"/>
        <v>0.25911730059319615</v>
      </c>
      <c r="BC129" s="44">
        <f t="shared" si="75"/>
        <v>8.8241715908379495E-2</v>
      </c>
    </row>
    <row r="130" spans="4:55" x14ac:dyDescent="0.3">
      <c r="D130">
        <f t="shared" si="76"/>
        <v>1.2800000000000009</v>
      </c>
      <c r="F130" s="5">
        <f t="shared" si="52"/>
        <v>0.82221442255677779</v>
      </c>
      <c r="G130" s="6">
        <f t="shared" si="53"/>
        <v>47.10941626728944</v>
      </c>
      <c r="I130" s="9">
        <f t="shared" si="54"/>
        <v>0.82381403734747261</v>
      </c>
      <c r="J130" s="9">
        <f t="shared" si="55"/>
        <v>47.201067443642955</v>
      </c>
      <c r="K130" s="9">
        <f t="shared" si="56"/>
        <v>-6.0359012715033646</v>
      </c>
      <c r="L130" s="9">
        <f t="shared" si="57"/>
        <v>-0.1053463505130459</v>
      </c>
      <c r="M130" s="11">
        <f t="shared" ref="M130:M193" si="91">$B$4*$B$1*$B$2*$B$2*$B$5*$B$6*I130/(4*$B$3) + $B$4*$B$1*$B$2*$B$5*$B$5*$B$7*L130/(2*$B$3)</f>
        <v>0.10879043419219592</v>
      </c>
      <c r="O130" s="15">
        <f t="shared" si="58"/>
        <v>0.8702065224032276</v>
      </c>
      <c r="P130" s="15">
        <f t="shared" si="59"/>
        <v>49.859161038461458</v>
      </c>
      <c r="Q130" s="15">
        <v>-6.0359012715033602</v>
      </c>
      <c r="R130" s="15">
        <f t="shared" si="60"/>
        <v>-0.10534635051304582</v>
      </c>
      <c r="S130" s="16">
        <f t="shared" ref="S130:S193" si="92">$B$4*$B$1*$B$2*$B$2*$B$5*$B$6*O130/(4*$B$3) + $B$4*$B$1*$B$2*$B$5*$B$5*$B$7*R130/(2*$B$3)</f>
        <v>5.4742054224035108E-3</v>
      </c>
      <c r="U130" s="23">
        <f t="shared" si="77"/>
        <v>0.86215973292710224</v>
      </c>
      <c r="V130" s="23">
        <f t="shared" si="61"/>
        <v>49.398113962849195</v>
      </c>
      <c r="W130" s="23">
        <f t="shared" si="62"/>
        <v>1.0504893070062526E-2</v>
      </c>
      <c r="X130" s="23">
        <f t="shared" si="78"/>
        <v>4.1832927555060469E-2</v>
      </c>
      <c r="Y130" s="23">
        <f t="shared" si="79"/>
        <v>-1.0179912992080986E-2</v>
      </c>
      <c r="Z130" s="26">
        <f t="shared" si="63"/>
        <v>-0.10462474168528559</v>
      </c>
      <c r="AA130" s="23">
        <f t="shared" si="64"/>
        <v>-5.994556131213316</v>
      </c>
      <c r="AB130" s="24">
        <f t="shared" si="80"/>
        <v>1.0082209931995045E-2</v>
      </c>
      <c r="AD130" s="33">
        <f t="shared" si="81"/>
        <v>0.87423511846937008</v>
      </c>
      <c r="AE130" s="33">
        <f t="shared" si="65"/>
        <v>50.089982590414429</v>
      </c>
      <c r="AF130" s="33">
        <f t="shared" si="66"/>
        <v>-1.5704924722053093E-3</v>
      </c>
      <c r="AG130" s="33">
        <f t="shared" si="82"/>
        <v>5.4293803595949403E-2</v>
      </c>
      <c r="AH130" s="33">
        <f t="shared" si="83"/>
        <v>1.521907611545803E-3</v>
      </c>
      <c r="AI130" s="35">
        <f t="shared" ref="AI130:AI193" si="93">MAX($B$34*AF130+$B$35*AG130+$B$36*AH130,RADIANS(-21.5))</f>
        <v>-0.10545423178554592</v>
      </c>
      <c r="AJ130" s="33">
        <f t="shared" si="67"/>
        <v>-6.0420824131061162</v>
      </c>
      <c r="AK130" s="37">
        <f t="shared" si="84"/>
        <v>-1.5073009021397965E-3</v>
      </c>
      <c r="AM130" s="41">
        <f t="shared" si="68"/>
        <v>-0.15577356062101547</v>
      </c>
      <c r="AN130" s="41">
        <f t="shared" si="69"/>
        <v>-8.9251675833094648</v>
      </c>
      <c r="AO130" s="42">
        <f t="shared" si="70"/>
        <v>0.15577356062101547</v>
      </c>
      <c r="AP130" s="41">
        <f t="shared" si="85"/>
        <v>-0.37681848763540599</v>
      </c>
      <c r="AQ130" s="41">
        <f t="shared" si="86"/>
        <v>-8.8241715908379814E-2</v>
      </c>
      <c r="AR130" s="43">
        <f t="shared" ref="AR130:AR193" si="94">$B$55*AO130+$B$56*AP130+$B$57*AQ130</f>
        <v>1.4694938903017749</v>
      </c>
      <c r="AS130" s="41">
        <f t="shared" ref="AS130:AS193" si="95">DEGREES(AR130)</f>
        <v>84.195797934552076</v>
      </c>
      <c r="AU130" s="48">
        <f t="shared" si="87"/>
        <v>9.083288891431146E-2</v>
      </c>
      <c r="AV130" s="48">
        <f t="shared" si="71"/>
        <v>5.204341175770689</v>
      </c>
      <c r="AW130" s="49">
        <f t="shared" si="72"/>
        <v>1.3786610013874634</v>
      </c>
      <c r="AX130" s="48">
        <f t="shared" si="88"/>
        <v>-1.3631509816079763</v>
      </c>
      <c r="AY130" s="48">
        <f t="shared" si="89"/>
        <v>-1.4221457710279939</v>
      </c>
      <c r="AZ130" s="50">
        <f t="shared" si="73"/>
        <v>-2.3909310703834175E-2</v>
      </c>
      <c r="BA130" s="48">
        <f t="shared" si="74"/>
        <v>-1.3699025943966621</v>
      </c>
      <c r="BB130" s="52">
        <f t="shared" si="90"/>
        <v>0.2387932858522645</v>
      </c>
      <c r="BC130" s="44">
        <f t="shared" si="75"/>
        <v>9.083288891431146E-2</v>
      </c>
    </row>
    <row r="131" spans="4:55" x14ac:dyDescent="0.3">
      <c r="D131">
        <f t="shared" si="76"/>
        <v>1.2900000000000009</v>
      </c>
      <c r="F131" s="5">
        <f t="shared" ref="F131:F194" si="96">$B$22+($B$13-$B$22)*EXP(-$B$9*D131)</f>
        <v>0.82332553222964111</v>
      </c>
      <c r="G131" s="6">
        <f t="shared" ref="G131:G194" si="97">DEGREES(F131)</f>
        <v>47.173078162120667</v>
      </c>
      <c r="I131" s="9">
        <f t="shared" ref="I131:I194" si="98">I130 + M130*$B$11</f>
        <v>0.82490194168939457</v>
      </c>
      <c r="J131" s="9">
        <f t="shared" ref="J131:J194" si="99">DEGREES(I131)</f>
        <v>47.263399770949043</v>
      </c>
      <c r="K131" s="9">
        <f t="shared" ref="K131:K194" si="100">$B$19</f>
        <v>-6.0359012715033646</v>
      </c>
      <c r="L131" s="9">
        <f t="shared" ref="L131:L194" si="101">RADIANS(K131)</f>
        <v>-0.1053463505130459</v>
      </c>
      <c r="M131" s="11">
        <f t="shared" si="91"/>
        <v>0.1063676673640217</v>
      </c>
      <c r="O131" s="15">
        <f t="shared" ref="O131:O194" si="102">O130 + S130*$B$11</f>
        <v>0.87026126445745167</v>
      </c>
      <c r="P131" s="15">
        <f t="shared" ref="P131:P194" si="103">DEGREES(O131)</f>
        <v>49.86229752713038</v>
      </c>
      <c r="Q131" s="15">
        <v>-6.0359012715033602</v>
      </c>
      <c r="R131" s="15">
        <f t="shared" ref="R131:R194" si="104">RADIANS(Q131)</f>
        <v>-0.10534635051304582</v>
      </c>
      <c r="S131" s="16">
        <f t="shared" si="92"/>
        <v>5.3522946734805288E-3</v>
      </c>
      <c r="U131" s="23">
        <f t="shared" si="77"/>
        <v>0.86226055502642218</v>
      </c>
      <c r="V131" s="23">
        <f t="shared" ref="V131:V194" si="105">DEGREES(U131)</f>
        <v>49.403890643621871</v>
      </c>
      <c r="W131" s="23">
        <f t="shared" ref="W131:W194" si="106">$B$17 - U131</f>
        <v>1.0404070970742585E-2</v>
      </c>
      <c r="X131" s="23">
        <f t="shared" si="78"/>
        <v>4.1936968264767893E-2</v>
      </c>
      <c r="Y131" s="23">
        <f t="shared" si="79"/>
        <v>-1.0082209931994157E-2</v>
      </c>
      <c r="Z131" s="26">
        <f t="shared" ref="Z131:Z194" si="107">$B$25*W131+$B$26*X131+$B$27*Y131</f>
        <v>-0.10463166742136099</v>
      </c>
      <c r="AA131" s="23">
        <f t="shared" ref="AA131:AA194" si="108">DEGREES(Z131)</f>
        <v>-5.9949529466604581</v>
      </c>
      <c r="AB131" s="24">
        <f t="shared" si="80"/>
        <v>9.985444589946102E-3</v>
      </c>
      <c r="AD131" s="33">
        <f t="shared" si="81"/>
        <v>0.8742200454603487</v>
      </c>
      <c r="AE131" s="33">
        <f t="shared" ref="AE131:AE194" si="109">DEGREES(AD131)</f>
        <v>50.089118970612944</v>
      </c>
      <c r="AF131" s="33">
        <f t="shared" ref="AF131:AF194" si="110">$B$17 - AD131</f>
        <v>-1.555419463183938E-3</v>
      </c>
      <c r="AG131" s="33">
        <f t="shared" si="82"/>
        <v>5.4278249401317563E-2</v>
      </c>
      <c r="AH131" s="33">
        <f t="shared" si="83"/>
        <v>1.507300902137132E-3</v>
      </c>
      <c r="AI131" s="35">
        <f t="shared" si="93"/>
        <v>-0.10545319638077794</v>
      </c>
      <c r="AJ131" s="33">
        <f t="shared" ref="AJ131:AJ194" si="111">DEGREES(AI131)</f>
        <v>-6.0420230887828232</v>
      </c>
      <c r="AK131" s="37">
        <f t="shared" si="84"/>
        <v>-1.4928343825637569E-3</v>
      </c>
      <c r="AM131" s="41">
        <f t="shared" ref="AM131:AM194" si="112">AM130 + BC130*$B$11</f>
        <v>-0.15486523173187236</v>
      </c>
      <c r="AN131" s="41">
        <f t="shared" ref="AN131:AN194" si="113">DEGREES(AM131)</f>
        <v>-8.8731241715517584</v>
      </c>
      <c r="AO131" s="42">
        <f t="shared" ref="AO131:AO194" si="114">$B$47 - AM131</f>
        <v>0.15486523173187236</v>
      </c>
      <c r="AP131" s="41">
        <f t="shared" si="85"/>
        <v>-0.37526983531808727</v>
      </c>
      <c r="AQ131" s="41">
        <f t="shared" si="86"/>
        <v>-9.0832888914310628E-2</v>
      </c>
      <c r="AR131" s="43">
        <f t="shared" si="94"/>
        <v>1.457819428404413</v>
      </c>
      <c r="AS131" s="41">
        <f t="shared" si="95"/>
        <v>83.526900539746947</v>
      </c>
      <c r="AU131" s="48">
        <f t="shared" si="87"/>
        <v>9.3220821772834112E-2</v>
      </c>
      <c r="AV131" s="48">
        <f t="shared" ref="AV131:AV194" si="115">DEGREES(AU131)</f>
        <v>5.3411596503246468</v>
      </c>
      <c r="AW131" s="49">
        <f t="shared" ref="AW131:AW194" si="116">AR131 - AU131</f>
        <v>1.3645986066315789</v>
      </c>
      <c r="AX131" s="48">
        <f t="shared" si="88"/>
        <v>-1.3495049955416605</v>
      </c>
      <c r="AY131" s="48">
        <f t="shared" si="89"/>
        <v>-1.4062394755884444</v>
      </c>
      <c r="AZ131" s="50">
        <f t="shared" ref="AZ131:AZ194" si="117">MIN(MAX($B$50*AW131+$B$51*AX131+$B$52*AY131,RADIANS(-21.5)),RADIANS(21.5))</f>
        <v>-2.3156024801894715E-2</v>
      </c>
      <c r="BA131" s="48">
        <f t="shared" ref="BA131:BA194" si="118">DEGREES(AZ131)</f>
        <v>-1.3267424914488253</v>
      </c>
      <c r="BB131" s="52">
        <f t="shared" si="90"/>
        <v>0.21957874872560379</v>
      </c>
      <c r="BC131" s="44">
        <f t="shared" ref="BC131:BC194" si="119">AU131</f>
        <v>9.3220821772834112E-2</v>
      </c>
    </row>
    <row r="132" spans="4:55" x14ac:dyDescent="0.3">
      <c r="D132">
        <f t="shared" ref="D132:D195" si="120">D131+$B$11</f>
        <v>1.3000000000000009</v>
      </c>
      <c r="F132" s="5">
        <f t="shared" si="96"/>
        <v>0.82441217094657293</v>
      </c>
      <c r="G132" s="6">
        <f t="shared" si="97"/>
        <v>47.235337974456378</v>
      </c>
      <c r="I132" s="9">
        <f t="shared" si="98"/>
        <v>0.82596561836303484</v>
      </c>
      <c r="J132" s="9">
        <f t="shared" si="99"/>
        <v>47.324343955115147</v>
      </c>
      <c r="K132" s="9">
        <f t="shared" si="100"/>
        <v>-6.0359012715033646</v>
      </c>
      <c r="L132" s="9">
        <f t="shared" si="101"/>
        <v>-0.1053463505130459</v>
      </c>
      <c r="M132" s="11">
        <f t="shared" si="91"/>
        <v>0.10399885563904432</v>
      </c>
      <c r="O132" s="15">
        <f t="shared" si="102"/>
        <v>0.87031478740418644</v>
      </c>
      <c r="P132" s="15">
        <f t="shared" si="103"/>
        <v>49.865364166085385</v>
      </c>
      <c r="Q132" s="15">
        <v>-6.0359012715033602</v>
      </c>
      <c r="R132" s="15">
        <f t="shared" si="104"/>
        <v>-0.10534635051304582</v>
      </c>
      <c r="S132" s="16">
        <f t="shared" si="92"/>
        <v>5.2330988812605561E-3</v>
      </c>
      <c r="U132" s="23">
        <f t="shared" ref="U132:U195" si="121">U131 + AB131*$B$11</f>
        <v>0.86236040947232162</v>
      </c>
      <c r="V132" s="23">
        <f t="shared" si="105"/>
        <v>49.409611881937529</v>
      </c>
      <c r="W132" s="23">
        <f t="shared" si="106"/>
        <v>1.0304216524843146E-2</v>
      </c>
      <c r="X132" s="23">
        <f t="shared" ref="X132:X195" si="122">X131+($B$11*W132)</f>
        <v>4.2040010430016324E-2</v>
      </c>
      <c r="Y132" s="23">
        <f t="shared" ref="Y132:Y195" si="123">(W132-W131)/$B$11</f>
        <v>-9.9854445899438815E-3</v>
      </c>
      <c r="Z132" s="26">
        <f t="shared" si="107"/>
        <v>-0.10463852668676922</v>
      </c>
      <c r="AA132" s="23">
        <f t="shared" si="108"/>
        <v>-5.9953459536189095</v>
      </c>
      <c r="AB132" s="24">
        <f t="shared" ref="AB132:AB195" si="124">$B$4*$B$1*$B$2*$B$2*$B$5*$B$6*U132/(4*$B$3) + $B$4*$B$1*$B$2*$B$5*$B$5*$B$7*Z132/(2*$B$3)</f>
        <v>9.8896079660530933E-3</v>
      </c>
      <c r="AD132" s="33">
        <f t="shared" ref="AD132:AD195" si="125">AD131 + AK131*$B$11</f>
        <v>0.87420511711652304</v>
      </c>
      <c r="AE132" s="33">
        <f t="shared" si="109"/>
        <v>50.088263639516612</v>
      </c>
      <c r="AF132" s="33">
        <f t="shared" si="110"/>
        <v>-1.5404911193582782E-3</v>
      </c>
      <c r="AG132" s="33">
        <f t="shared" ref="AG132:AG195" si="126">AG131+($B$11*AF132)</f>
        <v>5.4262844490123981E-2</v>
      </c>
      <c r="AH132" s="33">
        <f t="shared" ref="AH132:AH195" si="127">(AF132-AF131)/$B$11</f>
        <v>1.4928343825659773E-3</v>
      </c>
      <c r="AI132" s="35">
        <f t="shared" si="93"/>
        <v>-0.10545217091344423</v>
      </c>
      <c r="AJ132" s="33">
        <f t="shared" si="111"/>
        <v>-6.0419643338325741</v>
      </c>
      <c r="AK132" s="37">
        <f t="shared" ref="AK132:AK195" si="128">$B$4*$B$1*$B$2*$B$2*$B$5*$B$6*AD132/(4*$B$3) + $B$4*$B$1*$B$2*$B$5*$B$5*$B$7*AI132/(2*$B$3)</f>
        <v>-1.4785067073173064E-3</v>
      </c>
      <c r="AM132" s="41">
        <f t="shared" si="112"/>
        <v>-0.15393302351414401</v>
      </c>
      <c r="AN132" s="41">
        <f t="shared" si="113"/>
        <v>-8.819712575048511</v>
      </c>
      <c r="AO132" s="42">
        <f t="shared" si="114"/>
        <v>0.15393302351414401</v>
      </c>
      <c r="AP132" s="41">
        <f t="shared" ref="AP132:AP195" si="129">AP131+($B$11*AO132)</f>
        <v>-0.37373050508294581</v>
      </c>
      <c r="AQ132" s="41">
        <f t="shared" ref="AQ132:AQ195" si="130">(AO132-AO131)/$B$11</f>
        <v>-9.3220821772835305E-2</v>
      </c>
      <c r="AR132" s="43">
        <f t="shared" si="94"/>
        <v>1.446109413368605</v>
      </c>
      <c r="AS132" s="41">
        <f t="shared" si="95"/>
        <v>82.855966100160416</v>
      </c>
      <c r="AU132" s="48">
        <f t="shared" ref="AU132:AU195" si="131">AU131 + BB131*$B$11</f>
        <v>9.5416609260090143E-2</v>
      </c>
      <c r="AV132" s="48">
        <f t="shared" si="115"/>
        <v>5.4669690060520537</v>
      </c>
      <c r="AW132" s="49">
        <f t="shared" si="116"/>
        <v>1.3506928041085149</v>
      </c>
      <c r="AX132" s="48">
        <f t="shared" ref="AX132:AX195" si="132">AX131+($B$11*AW132)</f>
        <v>-1.3359980675005754</v>
      </c>
      <c r="AY132" s="48">
        <f t="shared" ref="AY132:AY195" si="133">(AW132-AW131)/$B$11</f>
        <v>-1.3905802523064059</v>
      </c>
      <c r="AZ132" s="50">
        <f t="shared" si="117"/>
        <v>-2.2436571954347007E-2</v>
      </c>
      <c r="BA132" s="48">
        <f t="shared" si="118"/>
        <v>-1.2855208797256725</v>
      </c>
      <c r="BB132" s="52">
        <f t="shared" ref="BB132:BB195" si="134">$B$4*$B$1*$B$2*$B$2*$B$5*$B$6*AU132/(4*$B$3) + $B$4*$B$1*$B$2*$B$5*$B$5*$B$7*AZ132/(2*$B$3)</f>
        <v>0.20141627148487354</v>
      </c>
      <c r="BC132" s="44">
        <f t="shared" si="119"/>
        <v>9.5416609260090143E-2</v>
      </c>
    </row>
    <row r="133" spans="4:55" x14ac:dyDescent="0.3">
      <c r="D133">
        <f t="shared" si="120"/>
        <v>1.3100000000000009</v>
      </c>
      <c r="F133" s="5">
        <f t="shared" si="96"/>
        <v>0.82547487765318639</v>
      </c>
      <c r="G133" s="6">
        <f t="shared" si="97"/>
        <v>47.296226583605574</v>
      </c>
      <c r="I133" s="9">
        <f t="shared" si="98"/>
        <v>0.82700560691942526</v>
      </c>
      <c r="J133" s="9">
        <f t="shared" si="99"/>
        <v>47.383930910138218</v>
      </c>
      <c r="K133" s="9">
        <f t="shared" si="100"/>
        <v>-6.0359012715033646</v>
      </c>
      <c r="L133" s="9">
        <f t="shared" si="101"/>
        <v>-0.1053463505130459</v>
      </c>
      <c r="M133" s="11">
        <f t="shared" si="91"/>
        <v>0.10168279743520214</v>
      </c>
      <c r="O133" s="15">
        <f t="shared" si="102"/>
        <v>0.87036711839299907</v>
      </c>
      <c r="P133" s="15">
        <f t="shared" si="103"/>
        <v>49.868362510882093</v>
      </c>
      <c r="Q133" s="15">
        <v>-6.0359012715033602</v>
      </c>
      <c r="R133" s="15">
        <f t="shared" si="104"/>
        <v>-0.10534635051304582</v>
      </c>
      <c r="S133" s="16">
        <f t="shared" si="92"/>
        <v>5.1165575835605548E-3</v>
      </c>
      <c r="U133" s="23">
        <f t="shared" si="121"/>
        <v>0.86245930555198214</v>
      </c>
      <c r="V133" s="23">
        <f t="shared" si="105"/>
        <v>49.415278209912465</v>
      </c>
      <c r="W133" s="23">
        <f t="shared" si="106"/>
        <v>1.0205320445182631E-2</v>
      </c>
      <c r="X133" s="23">
        <f t="shared" si="122"/>
        <v>4.2142063634468152E-2</v>
      </c>
      <c r="Y133" s="23">
        <f t="shared" si="123"/>
        <v>-9.889607966051539E-3</v>
      </c>
      <c r="Z133" s="26">
        <f t="shared" si="107"/>
        <v>-0.10464532011947131</v>
      </c>
      <c r="AA133" s="23">
        <f t="shared" si="108"/>
        <v>-5.9957351886411452</v>
      </c>
      <c r="AB133" s="24">
        <f t="shared" si="124"/>
        <v>9.7946911468207443E-3</v>
      </c>
      <c r="AD133" s="33">
        <f t="shared" si="125"/>
        <v>0.87419033204944985</v>
      </c>
      <c r="AE133" s="33">
        <f t="shared" si="109"/>
        <v>50.087416517573502</v>
      </c>
      <c r="AF133" s="33">
        <f t="shared" si="110"/>
        <v>-1.5257060522850807E-3</v>
      </c>
      <c r="AG133" s="33">
        <f t="shared" si="126"/>
        <v>5.4247587429601132E-2</v>
      </c>
      <c r="AH133" s="33">
        <f t="shared" si="127"/>
        <v>1.4785067073197489E-3</v>
      </c>
      <c r="AI133" s="35">
        <f t="shared" si="93"/>
        <v>-0.1054511552881687</v>
      </c>
      <c r="AJ133" s="33">
        <f t="shared" si="111"/>
        <v>-6.0419061427907188</v>
      </c>
      <c r="AK133" s="37">
        <f t="shared" si="128"/>
        <v>-1.4643165438283923E-3</v>
      </c>
      <c r="AM133" s="41">
        <f t="shared" si="112"/>
        <v>-0.1529788574215431</v>
      </c>
      <c r="AN133" s="41">
        <f t="shared" si="113"/>
        <v>-8.7650428849879916</v>
      </c>
      <c r="AO133" s="42">
        <f t="shared" si="114"/>
        <v>0.1529788574215431</v>
      </c>
      <c r="AP133" s="41">
        <f t="shared" si="129"/>
        <v>-0.37220071650873038</v>
      </c>
      <c r="AQ133" s="41">
        <f t="shared" si="130"/>
        <v>-9.5416609260090546E-2</v>
      </c>
      <c r="AR133" s="43">
        <f t="shared" si="94"/>
        <v>1.4343719649553406</v>
      </c>
      <c r="AS133" s="41">
        <f t="shared" si="95"/>
        <v>82.183459843827833</v>
      </c>
      <c r="AU133" s="48">
        <f t="shared" si="131"/>
        <v>9.7430771974938879E-2</v>
      </c>
      <c r="AV133" s="48">
        <f t="shared" si="115"/>
        <v>5.5823720288654988</v>
      </c>
      <c r="AW133" s="49">
        <f t="shared" si="116"/>
        <v>1.3369411929804018</v>
      </c>
      <c r="AX133" s="48">
        <f t="shared" si="132"/>
        <v>-1.3226286555707714</v>
      </c>
      <c r="AY133" s="48">
        <f t="shared" si="133"/>
        <v>-1.3751611128113073</v>
      </c>
      <c r="AZ133" s="50">
        <f t="shared" si="117"/>
        <v>-2.1749269255204373E-2</v>
      </c>
      <c r="BA133" s="48">
        <f t="shared" si="118"/>
        <v>-1.24614133581685</v>
      </c>
      <c r="BB133" s="52">
        <f t="shared" si="134"/>
        <v>0.18425137850550977</v>
      </c>
      <c r="BC133" s="44">
        <f t="shared" si="119"/>
        <v>9.7430771974938879E-2</v>
      </c>
    </row>
    <row r="134" spans="4:55" x14ac:dyDescent="0.3">
      <c r="D134">
        <f t="shared" si="120"/>
        <v>1.320000000000001</v>
      </c>
      <c r="F134" s="5">
        <f t="shared" si="96"/>
        <v>0.82651417942541694</v>
      </c>
      <c r="G134" s="6">
        <f t="shared" si="97"/>
        <v>47.355774188794854</v>
      </c>
      <c r="I134" s="9">
        <f t="shared" si="98"/>
        <v>0.82802243489377725</v>
      </c>
      <c r="J134" s="9">
        <f t="shared" si="99"/>
        <v>47.442190861559425</v>
      </c>
      <c r="K134" s="9">
        <f t="shared" si="100"/>
        <v>-6.0359012715033646</v>
      </c>
      <c r="L134" s="9">
        <f t="shared" si="101"/>
        <v>-0.1053463505130459</v>
      </c>
      <c r="M134" s="11">
        <f t="shared" si="91"/>
        <v>9.9418317929708788E-2</v>
      </c>
      <c r="O134" s="15">
        <f t="shared" si="102"/>
        <v>0.87041828396883469</v>
      </c>
      <c r="P134" s="15">
        <f t="shared" si="103"/>
        <v>49.871294082433828</v>
      </c>
      <c r="Q134" s="15">
        <v>-6.0359012715033602</v>
      </c>
      <c r="R134" s="15">
        <f t="shared" si="104"/>
        <v>-0.10534635051304582</v>
      </c>
      <c r="S134" s="16">
        <f t="shared" si="92"/>
        <v>5.0026116646941787E-3</v>
      </c>
      <c r="U134" s="23">
        <f t="shared" si="121"/>
        <v>0.86255725246345039</v>
      </c>
      <c r="V134" s="23">
        <f t="shared" si="105"/>
        <v>49.420890154555934</v>
      </c>
      <c r="W134" s="23">
        <f t="shared" si="106"/>
        <v>1.0107373533714381E-2</v>
      </c>
      <c r="X134" s="23">
        <f t="shared" si="122"/>
        <v>4.2243137369805298E-2</v>
      </c>
      <c r="Y134" s="23">
        <f t="shared" si="123"/>
        <v>-9.7946911468249631E-3</v>
      </c>
      <c r="Z134" s="26">
        <f t="shared" si="107"/>
        <v>-0.10465204835130523</v>
      </c>
      <c r="AA134" s="23">
        <f t="shared" si="108"/>
        <v>-5.9961206879288147</v>
      </c>
      <c r="AB134" s="24">
        <f t="shared" si="124"/>
        <v>9.7006853043002383E-3</v>
      </c>
      <c r="AD134" s="33">
        <f t="shared" si="125"/>
        <v>0.87417568888401154</v>
      </c>
      <c r="AE134" s="33">
        <f t="shared" si="109"/>
        <v>50.086577525995175</v>
      </c>
      <c r="AF134" s="33">
        <f t="shared" si="110"/>
        <v>-1.5110628868467701E-3</v>
      </c>
      <c r="AG134" s="33">
        <f t="shared" si="126"/>
        <v>5.4232476800732662E-2</v>
      </c>
      <c r="AH134" s="33">
        <f t="shared" si="127"/>
        <v>1.4643165438310568E-3</v>
      </c>
      <c r="AI134" s="35">
        <f t="shared" si="93"/>
        <v>-0.10545014941049094</v>
      </c>
      <c r="AJ134" s="33">
        <f t="shared" si="111"/>
        <v>-6.0418485102450772</v>
      </c>
      <c r="AK134" s="37">
        <f t="shared" si="128"/>
        <v>-1.4502625723089579E-3</v>
      </c>
      <c r="AM134" s="41">
        <f t="shared" si="112"/>
        <v>-0.15200454970179372</v>
      </c>
      <c r="AN134" s="41">
        <f t="shared" si="113"/>
        <v>-8.709219164699336</v>
      </c>
      <c r="AO134" s="42">
        <f t="shared" si="114"/>
        <v>0.15200454970179372</v>
      </c>
      <c r="AP134" s="41">
        <f t="shared" si="129"/>
        <v>-0.37068067101171243</v>
      </c>
      <c r="AQ134" s="41">
        <f t="shared" si="130"/>
        <v>-9.743077197493788E-2</v>
      </c>
      <c r="AR134" s="43">
        <f t="shared" si="94"/>
        <v>1.4226147250429992</v>
      </c>
      <c r="AS134" s="41">
        <f t="shared" si="95"/>
        <v>81.509819618127921</v>
      </c>
      <c r="AU134" s="48">
        <f t="shared" si="131"/>
        <v>9.9273285759993973E-2</v>
      </c>
      <c r="AV134" s="48">
        <f t="shared" si="115"/>
        <v>5.6879402924438294</v>
      </c>
      <c r="AW134" s="49">
        <f t="shared" si="116"/>
        <v>1.3233414392830052</v>
      </c>
      <c r="AX134" s="48">
        <f t="shared" si="132"/>
        <v>-1.3093952411779413</v>
      </c>
      <c r="AY134" s="48">
        <f t="shared" si="133"/>
        <v>-1.3599753697396633</v>
      </c>
      <c r="AZ134" s="50">
        <f t="shared" si="117"/>
        <v>-2.1092519361429529E-2</v>
      </c>
      <c r="BA134" s="48">
        <f t="shared" si="118"/>
        <v>-1.2085123387078862</v>
      </c>
      <c r="BB134" s="52">
        <f t="shared" si="134"/>
        <v>0.16803238580049731</v>
      </c>
      <c r="BC134" s="44">
        <f t="shared" si="119"/>
        <v>9.9273285759993973E-2</v>
      </c>
    </row>
    <row r="135" spans="4:55" x14ac:dyDescent="0.3">
      <c r="D135">
        <f t="shared" si="120"/>
        <v>1.330000000000001</v>
      </c>
      <c r="F135" s="5">
        <f t="shared" si="96"/>
        <v>0.82753059173093757</v>
      </c>
      <c r="G135" s="6">
        <f t="shared" si="97"/>
        <v>47.414010324146346</v>
      </c>
      <c r="I135" s="9">
        <f t="shared" si="98"/>
        <v>0.82901661807307436</v>
      </c>
      <c r="J135" s="9">
        <f t="shared" si="99"/>
        <v>47.499153361796047</v>
      </c>
      <c r="K135" s="9">
        <f t="shared" si="100"/>
        <v>-6.0359012715033646</v>
      </c>
      <c r="L135" s="9">
        <f t="shared" si="101"/>
        <v>-0.1053463505130459</v>
      </c>
      <c r="M135" s="11">
        <f t="shared" si="91"/>
        <v>9.7204268463121579E-2</v>
      </c>
      <c r="O135" s="15">
        <f t="shared" si="102"/>
        <v>0.87046831008548164</v>
      </c>
      <c r="P135" s="15">
        <f t="shared" si="103"/>
        <v>49.874160367783126</v>
      </c>
      <c r="Q135" s="15">
        <v>-6.0359012715033602</v>
      </c>
      <c r="R135" s="15">
        <f t="shared" si="104"/>
        <v>-0.10534635051304582</v>
      </c>
      <c r="S135" s="16">
        <f t="shared" si="92"/>
        <v>4.8912033254826515E-3</v>
      </c>
      <c r="U135" s="23">
        <f t="shared" si="121"/>
        <v>0.86265425931649342</v>
      </c>
      <c r="V135" s="23">
        <f t="shared" si="105"/>
        <v>49.426448237819152</v>
      </c>
      <c r="W135" s="23">
        <f t="shared" si="106"/>
        <v>1.0010366680671345E-2</v>
      </c>
      <c r="X135" s="23">
        <f t="shared" si="122"/>
        <v>4.2343241036612009E-2</v>
      </c>
      <c r="Y135" s="23">
        <f t="shared" si="123"/>
        <v>-9.700685304303569E-3</v>
      </c>
      <c r="Z135" s="26">
        <f t="shared" si="107"/>
        <v>-0.10465871200804519</v>
      </c>
      <c r="AA135" s="23">
        <f t="shared" si="108"/>
        <v>-5.9965024873361381</v>
      </c>
      <c r="AB135" s="24">
        <f t="shared" si="124"/>
        <v>9.6075816952769788E-3</v>
      </c>
      <c r="AD135" s="33">
        <f t="shared" si="125"/>
        <v>0.87416118625828843</v>
      </c>
      <c r="AE135" s="33">
        <f t="shared" si="109"/>
        <v>50.08574658674938</v>
      </c>
      <c r="AF135" s="33">
        <f t="shared" si="110"/>
        <v>-1.4965602611236584E-3</v>
      </c>
      <c r="AG135" s="33">
        <f t="shared" si="126"/>
        <v>5.4217511198121425E-2</v>
      </c>
      <c r="AH135" s="33">
        <f t="shared" si="127"/>
        <v>1.4502625723111784E-3</v>
      </c>
      <c r="AI135" s="35">
        <f t="shared" si="93"/>
        <v>-0.10544915318685709</v>
      </c>
      <c r="AJ135" s="33">
        <f t="shared" si="111"/>
        <v>-6.0417914308354064</v>
      </c>
      <c r="AK135" s="37">
        <f t="shared" si="128"/>
        <v>-1.4363434856383694E-3</v>
      </c>
      <c r="AM135" s="41">
        <f t="shared" si="112"/>
        <v>-0.15101181684419379</v>
      </c>
      <c r="AN135" s="41">
        <f t="shared" si="113"/>
        <v>-8.6523397617748987</v>
      </c>
      <c r="AO135" s="42">
        <f t="shared" si="114"/>
        <v>0.15101181684419379</v>
      </c>
      <c r="AP135" s="41">
        <f t="shared" si="129"/>
        <v>-0.36917055284327049</v>
      </c>
      <c r="AQ135" s="41">
        <f t="shared" si="130"/>
        <v>-9.9273285759993168E-2</v>
      </c>
      <c r="AR135" s="43">
        <f t="shared" si="94"/>
        <v>1.4108448826819449</v>
      </c>
      <c r="AS135" s="41">
        <f t="shared" si="95"/>
        <v>80.835457325305214</v>
      </c>
      <c r="AU135" s="48">
        <f t="shared" si="131"/>
        <v>0.10095360961799894</v>
      </c>
      <c r="AV135" s="48">
        <f t="shared" si="115"/>
        <v>5.7842157577226541</v>
      </c>
      <c r="AW135" s="49">
        <f t="shared" si="116"/>
        <v>1.3098912730639458</v>
      </c>
      <c r="AX135" s="48">
        <f t="shared" si="132"/>
        <v>-1.2962963284473017</v>
      </c>
      <c r="AY135" s="48">
        <f t="shared" si="133"/>
        <v>-1.3450166219059367</v>
      </c>
      <c r="AZ135" s="50">
        <f t="shared" si="117"/>
        <v>-2.0464806123758561E-2</v>
      </c>
      <c r="BA135" s="48">
        <f t="shared" si="118"/>
        <v>-1.1725470194448475</v>
      </c>
      <c r="BB135" s="52">
        <f t="shared" si="134"/>
        <v>0.15271025824803663</v>
      </c>
      <c r="BC135" s="44">
        <f t="shared" si="119"/>
        <v>0.10095360961799894</v>
      </c>
    </row>
    <row r="136" spans="4:55" x14ac:dyDescent="0.3">
      <c r="D136">
        <f t="shared" si="120"/>
        <v>1.340000000000001</v>
      </c>
      <c r="F136" s="5">
        <f t="shared" si="96"/>
        <v>0.82852461868481908</v>
      </c>
      <c r="G136" s="6">
        <f t="shared" si="97"/>
        <v>47.470963873325999</v>
      </c>
      <c r="I136" s="9">
        <f t="shared" si="98"/>
        <v>0.82998866075770561</v>
      </c>
      <c r="J136" s="9">
        <f t="shared" si="99"/>
        <v>47.554847305131986</v>
      </c>
      <c r="K136" s="9">
        <f t="shared" si="100"/>
        <v>-6.0359012715033646</v>
      </c>
      <c r="L136" s="9">
        <f t="shared" si="101"/>
        <v>-0.1053463505130459</v>
      </c>
      <c r="M136" s="11">
        <f t="shared" si="91"/>
        <v>9.5039525956686077E-2</v>
      </c>
      <c r="O136" s="15">
        <f t="shared" si="102"/>
        <v>0.8705172221187365</v>
      </c>
      <c r="P136" s="15">
        <f t="shared" si="103"/>
        <v>49.876962820856036</v>
      </c>
      <c r="Q136" s="15">
        <v>-6.0359012715033602</v>
      </c>
      <c r="R136" s="15">
        <f t="shared" si="104"/>
        <v>-0.10534635051304582</v>
      </c>
      <c r="S136" s="16">
        <f t="shared" si="92"/>
        <v>4.7822760539368847E-3</v>
      </c>
      <c r="U136" s="23">
        <f t="shared" si="121"/>
        <v>0.86275033513344623</v>
      </c>
      <c r="V136" s="23">
        <f t="shared" si="105"/>
        <v>49.431952976643814</v>
      </c>
      <c r="W136" s="23">
        <f t="shared" si="106"/>
        <v>9.9142908637185334E-3</v>
      </c>
      <c r="X136" s="23">
        <f t="shared" si="122"/>
        <v>4.2442383945249192E-2</v>
      </c>
      <c r="Y136" s="23">
        <f t="shared" si="123"/>
        <v>-9.6075816952811977E-3</v>
      </c>
      <c r="Z136" s="26">
        <f t="shared" si="107"/>
        <v>-0.10466531170945904</v>
      </c>
      <c r="AA136" s="23">
        <f t="shared" si="108"/>
        <v>-5.9968806223731992</v>
      </c>
      <c r="AB136" s="24">
        <f t="shared" si="124"/>
        <v>9.5153716604434724E-3</v>
      </c>
      <c r="AD136" s="33">
        <f t="shared" si="125"/>
        <v>0.87414682282343203</v>
      </c>
      <c r="AE136" s="33">
        <f t="shared" si="109"/>
        <v>50.0849236225528</v>
      </c>
      <c r="AF136" s="33">
        <f t="shared" si="110"/>
        <v>-1.482196826267268E-3</v>
      </c>
      <c r="AG136" s="33">
        <f t="shared" si="126"/>
        <v>5.4202689229858755E-2</v>
      </c>
      <c r="AH136" s="33">
        <f t="shared" si="127"/>
        <v>1.4363434856390356E-3</v>
      </c>
      <c r="AI136" s="35">
        <f t="shared" si="93"/>
        <v>-0.10544816652461117</v>
      </c>
      <c r="AJ136" s="33">
        <f t="shared" si="111"/>
        <v>-6.0417348992529103</v>
      </c>
      <c r="AK136" s="37">
        <f t="shared" si="128"/>
        <v>-1.4225579892419571E-3</v>
      </c>
      <c r="AM136" s="41">
        <f t="shared" si="112"/>
        <v>-0.15000228074801381</v>
      </c>
      <c r="AN136" s="41">
        <f t="shared" si="113"/>
        <v>-8.5944976041976719</v>
      </c>
      <c r="AO136" s="42">
        <f t="shared" si="114"/>
        <v>0.15000228074801381</v>
      </c>
      <c r="AP136" s="41">
        <f t="shared" si="129"/>
        <v>-0.36767053003579037</v>
      </c>
      <c r="AQ136" s="41">
        <f t="shared" si="130"/>
        <v>-0.1009536096179986</v>
      </c>
      <c r="AR136" s="43">
        <f t="shared" si="94"/>
        <v>1.3990691978621395</v>
      </c>
      <c r="AS136" s="41">
        <f t="shared" si="95"/>
        <v>80.160760284254096</v>
      </c>
      <c r="AU136" s="48">
        <f t="shared" si="131"/>
        <v>0.10248071220047932</v>
      </c>
      <c r="AV136" s="48">
        <f t="shared" si="115"/>
        <v>5.871712290582308</v>
      </c>
      <c r="AW136" s="49">
        <f t="shared" si="116"/>
        <v>1.2965884856616601</v>
      </c>
      <c r="AX136" s="48">
        <f t="shared" si="132"/>
        <v>-1.2833304435906852</v>
      </c>
      <c r="AY136" s="48">
        <f t="shared" si="133"/>
        <v>-1.3302787402285743</v>
      </c>
      <c r="AZ136" s="50">
        <f t="shared" si="117"/>
        <v>-1.9864690440806965E-2</v>
      </c>
      <c r="BA136" s="48">
        <f t="shared" si="118"/>
        <v>-1.13816292359211</v>
      </c>
      <c r="BB136" s="52">
        <f t="shared" si="134"/>
        <v>0.13823847411785864</v>
      </c>
      <c r="BC136" s="44">
        <f t="shared" si="119"/>
        <v>0.10248071220047932</v>
      </c>
    </row>
    <row r="137" spans="4:55" x14ac:dyDescent="0.3">
      <c r="D137">
        <f t="shared" si="120"/>
        <v>1.350000000000001</v>
      </c>
      <c r="F137" s="5">
        <f t="shared" si="96"/>
        <v>0.82949675329955774</v>
      </c>
      <c r="G137" s="6">
        <f t="shared" si="97"/>
        <v>47.526663083869103</v>
      </c>
      <c r="I137" s="9">
        <f t="shared" si="98"/>
        <v>0.83093905601727247</v>
      </c>
      <c r="J137" s="9">
        <f t="shared" si="99"/>
        <v>47.609300942374404</v>
      </c>
      <c r="K137" s="9">
        <f t="shared" si="100"/>
        <v>-6.0359012715033646</v>
      </c>
      <c r="L137" s="9">
        <f t="shared" si="101"/>
        <v>-0.1053463505130459</v>
      </c>
      <c r="M137" s="11">
        <f t="shared" si="91"/>
        <v>9.2922992342651112E-2</v>
      </c>
      <c r="O137" s="15">
        <f t="shared" si="102"/>
        <v>0.87056504487927588</v>
      </c>
      <c r="P137" s="15">
        <f t="shared" si="103"/>
        <v>49.879702863199611</v>
      </c>
      <c r="Q137" s="15">
        <v>-6.0359012715033602</v>
      </c>
      <c r="R137" s="15">
        <f t="shared" si="104"/>
        <v>-0.10534635051304582</v>
      </c>
      <c r="S137" s="16">
        <f t="shared" si="92"/>
        <v>4.6757745965919639E-3</v>
      </c>
      <c r="U137" s="23">
        <f t="shared" si="121"/>
        <v>0.86284548885005063</v>
      </c>
      <c r="V137" s="23">
        <f t="shared" si="105"/>
        <v>49.437404883010231</v>
      </c>
      <c r="W137" s="23">
        <f t="shared" si="106"/>
        <v>9.819137147114132E-3</v>
      </c>
      <c r="X137" s="23">
        <f t="shared" si="122"/>
        <v>4.2540575316720335E-2</v>
      </c>
      <c r="Y137" s="23">
        <f t="shared" si="123"/>
        <v>-9.5153716604401417E-3</v>
      </c>
      <c r="Z137" s="26">
        <f t="shared" si="107"/>
        <v>-0.10467184806936673</v>
      </c>
      <c r="AA137" s="23">
        <f t="shared" si="108"/>
        <v>-5.9972551282092876</v>
      </c>
      <c r="AB137" s="24">
        <f t="shared" si="124"/>
        <v>9.4240466236068521E-3</v>
      </c>
      <c r="AD137" s="33">
        <f t="shared" si="125"/>
        <v>0.87413259724353964</v>
      </c>
      <c r="AE137" s="33">
        <f t="shared" si="109"/>
        <v>50.084108556863839</v>
      </c>
      <c r="AF137" s="33">
        <f t="shared" si="110"/>
        <v>-1.4679712463748773E-3</v>
      </c>
      <c r="AG137" s="33">
        <f t="shared" si="126"/>
        <v>5.4188009517395004E-2</v>
      </c>
      <c r="AH137" s="33">
        <f t="shared" si="127"/>
        <v>1.4225579892390705E-3</v>
      </c>
      <c r="AI137" s="35">
        <f t="shared" si="93"/>
        <v>-0.10544718933198645</v>
      </c>
      <c r="AJ137" s="33">
        <f t="shared" si="111"/>
        <v>-6.0416789102397424</v>
      </c>
      <c r="AK137" s="37">
        <f t="shared" si="128"/>
        <v>-1.4089048009708893E-3</v>
      </c>
      <c r="AM137" s="41">
        <f t="shared" si="112"/>
        <v>-0.14897747362600902</v>
      </c>
      <c r="AN137" s="41">
        <f t="shared" si="113"/>
        <v>-8.5357804812918499</v>
      </c>
      <c r="AO137" s="42">
        <f t="shared" si="114"/>
        <v>0.14897747362600902</v>
      </c>
      <c r="AP137" s="41">
        <f t="shared" si="129"/>
        <v>-0.36618075529953026</v>
      </c>
      <c r="AQ137" s="41">
        <f t="shared" si="130"/>
        <v>-0.10248071220047839</v>
      </c>
      <c r="AR137" s="43">
        <f t="shared" si="94"/>
        <v>1.3872940240596119</v>
      </c>
      <c r="AS137" s="41">
        <f t="shared" si="95"/>
        <v>79.48609252233625</v>
      </c>
      <c r="AU137" s="48">
        <f t="shared" si="131"/>
        <v>0.10386309694165791</v>
      </c>
      <c r="AV137" s="48">
        <f t="shared" si="115"/>
        <v>5.9509171019151266</v>
      </c>
      <c r="AW137" s="49">
        <f t="shared" si="116"/>
        <v>1.283430927117954</v>
      </c>
      <c r="AX137" s="48">
        <f t="shared" si="132"/>
        <v>-1.2704961343195056</v>
      </c>
      <c r="AY137" s="48">
        <f t="shared" si="133"/>
        <v>-1.3157558543706038</v>
      </c>
      <c r="AZ137" s="50">
        <f t="shared" si="117"/>
        <v>-1.9290806325043874E-2</v>
      </c>
      <c r="BA137" s="48">
        <f t="shared" si="118"/>
        <v>-1.1052817858292878</v>
      </c>
      <c r="BB137" s="52">
        <f t="shared" si="134"/>
        <v>0.12457289652308298</v>
      </c>
      <c r="BC137" s="44">
        <f t="shared" si="119"/>
        <v>0.10386309694165791</v>
      </c>
    </row>
    <row r="138" spans="4:55" x14ac:dyDescent="0.3">
      <c r="D138">
        <f t="shared" si="120"/>
        <v>1.360000000000001</v>
      </c>
      <c r="F138" s="5">
        <f t="shared" si="96"/>
        <v>0.83044747772959737</v>
      </c>
      <c r="G138" s="6">
        <f t="shared" si="97"/>
        <v>47.581135581190352</v>
      </c>
      <c r="I138" s="9">
        <f t="shared" si="98"/>
        <v>0.83186828594069895</v>
      </c>
      <c r="J138" s="9">
        <f t="shared" si="99"/>
        <v>47.662541895184006</v>
      </c>
      <c r="K138" s="9">
        <f t="shared" si="100"/>
        <v>-6.0359012715033646</v>
      </c>
      <c r="L138" s="9">
        <f t="shared" si="101"/>
        <v>-0.1053463505130459</v>
      </c>
      <c r="M138" s="11">
        <f t="shared" si="91"/>
        <v>9.0853594007272331E-2</v>
      </c>
      <c r="O138" s="15">
        <f t="shared" si="102"/>
        <v>0.87061180262524185</v>
      </c>
      <c r="P138" s="15">
        <f t="shared" si="103"/>
        <v>49.882381884703001</v>
      </c>
      <c r="Q138" s="15">
        <v>-6.0359012715033602</v>
      </c>
      <c r="R138" s="15">
        <f t="shared" si="104"/>
        <v>-0.10534635051304582</v>
      </c>
      <c r="S138" s="16">
        <f t="shared" si="92"/>
        <v>4.5716449304795681E-3</v>
      </c>
      <c r="U138" s="23">
        <f t="shared" si="121"/>
        <v>0.86293972931628671</v>
      </c>
      <c r="V138" s="23">
        <f t="shared" si="105"/>
        <v>49.442804463984906</v>
      </c>
      <c r="W138" s="23">
        <f t="shared" si="106"/>
        <v>9.724896680878059E-3</v>
      </c>
      <c r="X138" s="23">
        <f t="shared" si="122"/>
        <v>4.2637824283529115E-2</v>
      </c>
      <c r="Y138" s="23">
        <f t="shared" si="123"/>
        <v>-9.4240466236072962E-3</v>
      </c>
      <c r="Z138" s="26">
        <f t="shared" si="107"/>
        <v>-0.10467832169569631</v>
      </c>
      <c r="AA138" s="23">
        <f t="shared" si="108"/>
        <v>-5.9976260396761178</v>
      </c>
      <c r="AB138" s="24">
        <f t="shared" si="124"/>
        <v>9.3335980908757499E-3</v>
      </c>
      <c r="AD138" s="33">
        <f t="shared" si="125"/>
        <v>0.87411850819552994</v>
      </c>
      <c r="AE138" s="33">
        <f t="shared" si="109"/>
        <v>50.083301313875531</v>
      </c>
      <c r="AF138" s="33">
        <f t="shared" si="110"/>
        <v>-1.4538821983651751E-3</v>
      </c>
      <c r="AG138" s="33">
        <f t="shared" si="126"/>
        <v>5.4173470695411355E-2</v>
      </c>
      <c r="AH138" s="33">
        <f t="shared" si="127"/>
        <v>1.4089048009702232E-3</v>
      </c>
      <c r="AI138" s="35">
        <f t="shared" si="93"/>
        <v>-0.10544622151809721</v>
      </c>
      <c r="AJ138" s="33">
        <f t="shared" si="111"/>
        <v>-6.0416234585885347</v>
      </c>
      <c r="AK138" s="37">
        <f t="shared" si="128"/>
        <v>-1.3953826509749412E-3</v>
      </c>
      <c r="AM138" s="41">
        <f t="shared" si="112"/>
        <v>-0.14793884265659243</v>
      </c>
      <c r="AN138" s="41">
        <f t="shared" si="113"/>
        <v>-8.4762713102726988</v>
      </c>
      <c r="AO138" s="42">
        <f t="shared" si="114"/>
        <v>0.14793884265659243</v>
      </c>
      <c r="AP138" s="41">
        <f t="shared" si="129"/>
        <v>-0.36470136687296434</v>
      </c>
      <c r="AQ138" s="41">
        <f t="shared" si="130"/>
        <v>-0.10386309694165874</v>
      </c>
      <c r="AR138" s="43">
        <f t="shared" si="94"/>
        <v>1.3755253296242655</v>
      </c>
      <c r="AS138" s="41">
        <f t="shared" si="95"/>
        <v>78.811796000811796</v>
      </c>
      <c r="AU138" s="48">
        <f t="shared" si="131"/>
        <v>0.10510882590688873</v>
      </c>
      <c r="AV138" s="48">
        <f t="shared" si="115"/>
        <v>6.0222921140400523</v>
      </c>
      <c r="AW138" s="49">
        <f t="shared" si="116"/>
        <v>1.2704165037173769</v>
      </c>
      <c r="AX138" s="48">
        <f t="shared" si="132"/>
        <v>-1.2577919692823318</v>
      </c>
      <c r="AY138" s="48">
        <f t="shared" si="133"/>
        <v>-1.3014423400577124</v>
      </c>
      <c r="AZ138" s="50">
        <f t="shared" si="117"/>
        <v>-1.874185716980159E-2</v>
      </c>
      <c r="BA138" s="48">
        <f t="shared" si="118"/>
        <v>-1.073829316066633</v>
      </c>
      <c r="BB138" s="52">
        <f t="shared" si="134"/>
        <v>0.11167165144354277</v>
      </c>
      <c r="BC138" s="44">
        <f t="shared" si="119"/>
        <v>0.10510882590688873</v>
      </c>
    </row>
    <row r="139" spans="4:55" x14ac:dyDescent="0.3">
      <c r="D139">
        <f t="shared" si="120"/>
        <v>1.370000000000001</v>
      </c>
      <c r="F139" s="5">
        <f t="shared" si="96"/>
        <v>0.83137726351046592</v>
      </c>
      <c r="G139" s="6">
        <f t="shared" si="97"/>
        <v>47.6344083822854</v>
      </c>
      <c r="I139" s="9">
        <f t="shared" si="98"/>
        <v>0.83277682188077162</v>
      </c>
      <c r="J139" s="9">
        <f t="shared" si="99"/>
        <v>47.714597170086122</v>
      </c>
      <c r="K139" s="9">
        <f t="shared" si="100"/>
        <v>-6.0359012715033646</v>
      </c>
      <c r="L139" s="9">
        <f t="shared" si="101"/>
        <v>-0.1053463505130459</v>
      </c>
      <c r="M139" s="11">
        <f t="shared" si="91"/>
        <v>8.8830281246222498E-2</v>
      </c>
      <c r="O139" s="15">
        <f t="shared" si="102"/>
        <v>0.87065751907454669</v>
      </c>
      <c r="P139" s="15">
        <f t="shared" si="103"/>
        <v>49.885001244302494</v>
      </c>
      <c r="Q139" s="15">
        <v>-6.0359012715033602</v>
      </c>
      <c r="R139" s="15">
        <f t="shared" si="104"/>
        <v>-0.10534635051304582</v>
      </c>
      <c r="S139" s="16">
        <f t="shared" si="92"/>
        <v>4.4698342357247789E-3</v>
      </c>
      <c r="U139" s="23">
        <f t="shared" si="121"/>
        <v>0.86303306529719548</v>
      </c>
      <c r="V139" s="23">
        <f t="shared" si="105"/>
        <v>49.448152221767693</v>
      </c>
      <c r="W139" s="23">
        <f t="shared" si="106"/>
        <v>9.6315606999692882E-3</v>
      </c>
      <c r="X139" s="23">
        <f t="shared" si="122"/>
        <v>4.2734139890528808E-2</v>
      </c>
      <c r="Y139" s="23">
        <f t="shared" si="123"/>
        <v>-9.3335980908770821E-3</v>
      </c>
      <c r="Z139" s="26">
        <f t="shared" si="107"/>
        <v>-0.10468473319054181</v>
      </c>
      <c r="AA139" s="23">
        <f t="shared" si="108"/>
        <v>-5.9979933912711347</v>
      </c>
      <c r="AB139" s="24">
        <f t="shared" si="124"/>
        <v>9.2440176498889137E-3</v>
      </c>
      <c r="AD139" s="33">
        <f t="shared" si="125"/>
        <v>0.87410455436902024</v>
      </c>
      <c r="AE139" s="33">
        <f t="shared" si="109"/>
        <v>50.082501818508462</v>
      </c>
      <c r="AF139" s="33">
        <f t="shared" si="110"/>
        <v>-1.4399283718554701E-3</v>
      </c>
      <c r="AG139" s="33">
        <f t="shared" si="126"/>
        <v>5.4159071411692801E-2</v>
      </c>
      <c r="AH139" s="33">
        <f t="shared" si="127"/>
        <v>1.3953826509705003E-3</v>
      </c>
      <c r="AI139" s="35">
        <f t="shared" si="93"/>
        <v>-0.10544526299292951</v>
      </c>
      <c r="AJ139" s="33">
        <f t="shared" si="111"/>
        <v>-6.0415685391418688</v>
      </c>
      <c r="AK139" s="37">
        <f t="shared" si="128"/>
        <v>-1.3819902816032403E-3</v>
      </c>
      <c r="AM139" s="41">
        <f t="shared" si="112"/>
        <v>-0.14688775439752355</v>
      </c>
      <c r="AN139" s="41">
        <f t="shared" si="113"/>
        <v>-8.4160483891322979</v>
      </c>
      <c r="AO139" s="42">
        <f t="shared" si="114"/>
        <v>0.14688775439752355</v>
      </c>
      <c r="AP139" s="41">
        <f t="shared" si="129"/>
        <v>-0.36323248932898911</v>
      </c>
      <c r="AQ139" s="41">
        <f t="shared" si="130"/>
        <v>-0.1051088259068883</v>
      </c>
      <c r="AR139" s="43">
        <f t="shared" si="94"/>
        <v>1.3637687180683473</v>
      </c>
      <c r="AS139" s="41">
        <f t="shared" si="95"/>
        <v>78.138191777282955</v>
      </c>
      <c r="AU139" s="48">
        <f t="shared" si="131"/>
        <v>0.10622554242132416</v>
      </c>
      <c r="AV139" s="48">
        <f t="shared" si="115"/>
        <v>6.0862752572297625</v>
      </c>
      <c r="AW139" s="49">
        <f t="shared" si="116"/>
        <v>1.2575431756470232</v>
      </c>
      <c r="AX139" s="48">
        <f t="shared" si="132"/>
        <v>-1.2452165375258617</v>
      </c>
      <c r="AY139" s="48">
        <f t="shared" si="133"/>
        <v>-1.2873328070353685</v>
      </c>
      <c r="AZ139" s="50">
        <f t="shared" si="117"/>
        <v>-1.821661220714621E-2</v>
      </c>
      <c r="BA139" s="48">
        <f t="shared" si="118"/>
        <v>-1.0437349964959732</v>
      </c>
      <c r="BB139" s="52">
        <f t="shared" si="134"/>
        <v>9.949501198653643E-2</v>
      </c>
      <c r="BC139" s="44">
        <f t="shared" si="119"/>
        <v>0.10622554242132416</v>
      </c>
    </row>
    <row r="140" spans="4:55" x14ac:dyDescent="0.3">
      <c r="D140">
        <f t="shared" si="120"/>
        <v>1.380000000000001</v>
      </c>
      <c r="F140" s="5">
        <f t="shared" si="96"/>
        <v>0.83228657179264554</v>
      </c>
      <c r="G140" s="6">
        <f t="shared" si="97"/>
        <v>47.686507909130583</v>
      </c>
      <c r="I140" s="9">
        <f t="shared" si="98"/>
        <v>0.83366512469323384</v>
      </c>
      <c r="J140" s="9">
        <f t="shared" si="99"/>
        <v>47.765493172169805</v>
      </c>
      <c r="K140" s="9">
        <f t="shared" si="100"/>
        <v>-6.0359012715033646</v>
      </c>
      <c r="L140" s="9">
        <f t="shared" si="101"/>
        <v>-0.1053463505130459</v>
      </c>
      <c r="M140" s="11">
        <f t="shared" si="91"/>
        <v>8.685202773212608E-2</v>
      </c>
      <c r="O140" s="15">
        <f t="shared" si="102"/>
        <v>0.8707022174169039</v>
      </c>
      <c r="P140" s="15">
        <f t="shared" si="103"/>
        <v>49.887562270670792</v>
      </c>
      <c r="Q140" s="15">
        <v>-6.0359012715033602</v>
      </c>
      <c r="R140" s="15">
        <f t="shared" si="104"/>
        <v>-0.10534635051304582</v>
      </c>
      <c r="S140" s="16">
        <f t="shared" si="92"/>
        <v>4.3702908687539566E-3</v>
      </c>
      <c r="U140" s="23">
        <f t="shared" si="121"/>
        <v>0.86312550547369438</v>
      </c>
      <c r="V140" s="23">
        <f t="shared" si="105"/>
        <v>49.453448653738519</v>
      </c>
      <c r="W140" s="23">
        <f t="shared" si="106"/>
        <v>9.5391205234703902E-3</v>
      </c>
      <c r="X140" s="23">
        <f t="shared" si="122"/>
        <v>4.2829531095763512E-2</v>
      </c>
      <c r="Y140" s="23">
        <f t="shared" si="123"/>
        <v>-9.2440176498898019E-3</v>
      </c>
      <c r="Z140" s="26">
        <f t="shared" si="107"/>
        <v>-0.10469108315021836</v>
      </c>
      <c r="AA140" s="23">
        <f t="shared" si="108"/>
        <v>-5.9983572171606792</v>
      </c>
      <c r="AB140" s="24">
        <f t="shared" si="124"/>
        <v>9.1552969690213981E-3</v>
      </c>
      <c r="AD140" s="33">
        <f t="shared" si="125"/>
        <v>0.87409073446620422</v>
      </c>
      <c r="AE140" s="33">
        <f t="shared" si="109"/>
        <v>50.081709996403823</v>
      </c>
      <c r="AF140" s="33">
        <f t="shared" si="110"/>
        <v>-1.4261084690394554E-3</v>
      </c>
      <c r="AG140" s="33">
        <f t="shared" si="126"/>
        <v>5.4144810327002406E-2</v>
      </c>
      <c r="AH140" s="33">
        <f t="shared" si="127"/>
        <v>1.381990281601464E-3</v>
      </c>
      <c r="AI140" s="35">
        <f t="shared" si="93"/>
        <v>-0.10544431366733391</v>
      </c>
      <c r="AJ140" s="33">
        <f t="shared" si="111"/>
        <v>-6.0415141467918563</v>
      </c>
      <c r="AK140" s="37">
        <f t="shared" si="128"/>
        <v>-1.3687264472639349E-3</v>
      </c>
      <c r="AM140" s="41">
        <f t="shared" si="112"/>
        <v>-0.14582549897331032</v>
      </c>
      <c r="AN140" s="41">
        <f t="shared" si="113"/>
        <v>-8.3551856365599999</v>
      </c>
      <c r="AO140" s="42">
        <f t="shared" si="114"/>
        <v>0.14582549897331032</v>
      </c>
      <c r="AP140" s="41">
        <f t="shared" si="129"/>
        <v>-0.36177423433925598</v>
      </c>
      <c r="AQ140" s="41">
        <f t="shared" si="130"/>
        <v>-0.1062255424213232</v>
      </c>
      <c r="AR140" s="43">
        <f t="shared" si="94"/>
        <v>1.35202944731178</v>
      </c>
      <c r="AS140" s="41">
        <f t="shared" si="95"/>
        <v>77.465581108370301</v>
      </c>
      <c r="AU140" s="48">
        <f t="shared" si="131"/>
        <v>0.10722049254118952</v>
      </c>
      <c r="AV140" s="48">
        <f t="shared" si="115"/>
        <v>6.1432816999240831</v>
      </c>
      <c r="AW140" s="49">
        <f t="shared" si="116"/>
        <v>1.2448089547705905</v>
      </c>
      <c r="AX140" s="48">
        <f t="shared" si="132"/>
        <v>-1.2327684479781558</v>
      </c>
      <c r="AY140" s="48">
        <f t="shared" si="133"/>
        <v>-1.2734220876432722</v>
      </c>
      <c r="AZ140" s="50">
        <f t="shared" si="117"/>
        <v>-1.7713903146653109E-2</v>
      </c>
      <c r="BA140" s="48">
        <f t="shared" si="118"/>
        <v>-1.0149318890067318</v>
      </c>
      <c r="BB140" s="52">
        <f t="shared" si="134"/>
        <v>8.8005288562424261E-2</v>
      </c>
      <c r="BC140" s="44">
        <f t="shared" si="119"/>
        <v>0.10722049254118952</v>
      </c>
    </row>
    <row r="141" spans="4:55" x14ac:dyDescent="0.3">
      <c r="D141">
        <f t="shared" si="120"/>
        <v>1.390000000000001</v>
      </c>
      <c r="F141" s="5">
        <f t="shared" si="96"/>
        <v>0.83317585357029089</v>
      </c>
      <c r="G141" s="6">
        <f t="shared" si="97"/>
        <v>47.737460001787554</v>
      </c>
      <c r="I141" s="9">
        <f t="shared" si="98"/>
        <v>0.83453364497055516</v>
      </c>
      <c r="J141" s="9">
        <f t="shared" si="99"/>
        <v>47.815255718481851</v>
      </c>
      <c r="K141" s="9">
        <f t="shared" si="100"/>
        <v>-6.0359012715033646</v>
      </c>
      <c r="L141" s="9">
        <f t="shared" si="101"/>
        <v>-0.1053463505130459</v>
      </c>
      <c r="M141" s="11">
        <f t="shared" si="91"/>
        <v>8.4917829993956362E-2</v>
      </c>
      <c r="O141" s="15">
        <f t="shared" si="102"/>
        <v>0.87074592032559139</v>
      </c>
      <c r="P141" s="15">
        <f t="shared" si="103"/>
        <v>49.890066262891033</v>
      </c>
      <c r="Q141" s="15">
        <v>-6.0359012715033602</v>
      </c>
      <c r="R141" s="15">
        <f t="shared" si="104"/>
        <v>-0.10534635051304582</v>
      </c>
      <c r="S141" s="16">
        <f t="shared" si="92"/>
        <v>4.272964336095697E-3</v>
      </c>
      <c r="U141" s="23">
        <f t="shared" si="121"/>
        <v>0.86321705844338459</v>
      </c>
      <c r="V141" s="23">
        <f t="shared" si="105"/>
        <v>49.458694252503662</v>
      </c>
      <c r="W141" s="23">
        <f t="shared" si="106"/>
        <v>9.4475675537801784E-3</v>
      </c>
      <c r="X141" s="23">
        <f t="shared" si="122"/>
        <v>4.2924006771301315E-2</v>
      </c>
      <c r="Y141" s="23">
        <f t="shared" si="123"/>
        <v>-9.1552969690211761E-3</v>
      </c>
      <c r="Z141" s="26">
        <f t="shared" si="107"/>
        <v>-0.10469737216531788</v>
      </c>
      <c r="AA141" s="23">
        <f t="shared" si="108"/>
        <v>-5.9987175511831756</v>
      </c>
      <c r="AB141" s="24">
        <f t="shared" si="124"/>
        <v>9.067427796612737E-3</v>
      </c>
      <c r="AD141" s="33">
        <f t="shared" si="125"/>
        <v>0.87407704720173163</v>
      </c>
      <c r="AE141" s="33">
        <f t="shared" si="109"/>
        <v>50.080925773916462</v>
      </c>
      <c r="AF141" s="33">
        <f t="shared" si="110"/>
        <v>-1.4124212045668605E-3</v>
      </c>
      <c r="AG141" s="33">
        <f t="shared" si="126"/>
        <v>5.4130686114956736E-2</v>
      </c>
      <c r="AH141" s="33">
        <f t="shared" si="127"/>
        <v>1.368726447259494E-3</v>
      </c>
      <c r="AI141" s="35">
        <f t="shared" si="93"/>
        <v>-0.10544337345301605</v>
      </c>
      <c r="AJ141" s="33">
        <f t="shared" si="111"/>
        <v>-6.0414602764796053</v>
      </c>
      <c r="AK141" s="37">
        <f t="shared" si="128"/>
        <v>-1.3555899143289363E-3</v>
      </c>
      <c r="AM141" s="41">
        <f t="shared" si="112"/>
        <v>-0.14475329404789841</v>
      </c>
      <c r="AN141" s="41">
        <f t="shared" si="113"/>
        <v>-8.2937528195607584</v>
      </c>
      <c r="AO141" s="42">
        <f t="shared" si="114"/>
        <v>0.14475329404789841</v>
      </c>
      <c r="AP141" s="41">
        <f t="shared" si="129"/>
        <v>-0.36032670139877698</v>
      </c>
      <c r="AQ141" s="41">
        <f t="shared" si="130"/>
        <v>-0.1072204925411907</v>
      </c>
      <c r="AR141" s="43">
        <f t="shared" si="94"/>
        <v>1.3403124479377935</v>
      </c>
      <c r="AS141" s="41">
        <f t="shared" si="95"/>
        <v>76.794246495683439</v>
      </c>
      <c r="AU141" s="48">
        <f t="shared" si="131"/>
        <v>0.10810054542681377</v>
      </c>
      <c r="AV141" s="48">
        <f t="shared" si="115"/>
        <v>6.1937050160186615</v>
      </c>
      <c r="AW141" s="49">
        <f t="shared" si="116"/>
        <v>1.2322119025109797</v>
      </c>
      <c r="AX141" s="48">
        <f t="shared" si="132"/>
        <v>-1.2204463289530461</v>
      </c>
      <c r="AY141" s="48">
        <f t="shared" si="133"/>
        <v>-1.259705225961083</v>
      </c>
      <c r="AZ141" s="50">
        <f t="shared" si="117"/>
        <v>-1.723262098606182E-2</v>
      </c>
      <c r="BA141" s="48">
        <f t="shared" si="118"/>
        <v>-0.98735645244991332</v>
      </c>
      <c r="BB141" s="52">
        <f t="shared" si="134"/>
        <v>7.7166724676846932E-2</v>
      </c>
      <c r="BC141" s="44">
        <f t="shared" si="119"/>
        <v>0.10810054542681377</v>
      </c>
    </row>
    <row r="142" spans="4:55" x14ac:dyDescent="0.3">
      <c r="D142">
        <f t="shared" si="120"/>
        <v>1.400000000000001</v>
      </c>
      <c r="F142" s="5">
        <f t="shared" si="96"/>
        <v>0.83404554990491209</v>
      </c>
      <c r="G142" s="6">
        <f t="shared" si="97"/>
        <v>47.787289931219341</v>
      </c>
      <c r="I142" s="9">
        <f t="shared" si="98"/>
        <v>0.83538282327049473</v>
      </c>
      <c r="J142" s="9">
        <f t="shared" si="99"/>
        <v>47.863910051122481</v>
      </c>
      <c r="K142" s="9">
        <f t="shared" si="100"/>
        <v>-6.0359012715033646</v>
      </c>
      <c r="L142" s="9">
        <f t="shared" si="101"/>
        <v>-0.1053463505130459</v>
      </c>
      <c r="M142" s="11">
        <f t="shared" si="91"/>
        <v>8.3026706908019721E-2</v>
      </c>
      <c r="O142" s="15">
        <f t="shared" si="102"/>
        <v>0.87078864996895233</v>
      </c>
      <c r="P142" s="15">
        <f t="shared" si="103"/>
        <v>49.892514491115712</v>
      </c>
      <c r="Q142" s="15">
        <v>-6.0359012715033602</v>
      </c>
      <c r="R142" s="15">
        <f t="shared" si="104"/>
        <v>-0.10534635051304582</v>
      </c>
      <c r="S142" s="16">
        <f t="shared" si="92"/>
        <v>4.1778052687722056E-3</v>
      </c>
      <c r="U142" s="23">
        <f t="shared" si="121"/>
        <v>0.86330773272135075</v>
      </c>
      <c r="V142" s="23">
        <f t="shared" si="105"/>
        <v>49.463889505941516</v>
      </c>
      <c r="W142" s="23">
        <f t="shared" si="106"/>
        <v>9.3568932758140155E-3</v>
      </c>
      <c r="X142" s="23">
        <f t="shared" si="122"/>
        <v>4.3017575704059452E-2</v>
      </c>
      <c r="Y142" s="23">
        <f t="shared" si="123"/>
        <v>-9.0674277966162897E-3</v>
      </c>
      <c r="Z142" s="26">
        <f t="shared" si="107"/>
        <v>-0.10470360082076385</v>
      </c>
      <c r="AA142" s="23">
        <f t="shared" si="108"/>
        <v>-5.9990744268522711</v>
      </c>
      <c r="AB142" s="24">
        <f t="shared" si="124"/>
        <v>8.9804019601951168E-3</v>
      </c>
      <c r="AD142" s="33">
        <f t="shared" si="125"/>
        <v>0.87406349130258831</v>
      </c>
      <c r="AE142" s="33">
        <f t="shared" si="109"/>
        <v>50.08014907810805</v>
      </c>
      <c r="AF142" s="33">
        <f t="shared" si="110"/>
        <v>-1.3988653054235467E-3</v>
      </c>
      <c r="AG142" s="33">
        <f t="shared" si="126"/>
        <v>5.4116697461902501E-2</v>
      </c>
      <c r="AH142" s="33">
        <f t="shared" si="127"/>
        <v>1.3555899143313788E-3</v>
      </c>
      <c r="AI142" s="35">
        <f t="shared" si="93"/>
        <v>-0.10544244226252956</v>
      </c>
      <c r="AJ142" s="33">
        <f t="shared" si="111"/>
        <v>-6.0414069231948071</v>
      </c>
      <c r="AK142" s="37">
        <f t="shared" si="128"/>
        <v>-1.3425794609998043E-3</v>
      </c>
      <c r="AM142" s="41">
        <f t="shared" si="112"/>
        <v>-0.14367228859363027</v>
      </c>
      <c r="AN142" s="41">
        <f t="shared" si="113"/>
        <v>-8.2318157694005727</v>
      </c>
      <c r="AO142" s="42">
        <f t="shared" si="114"/>
        <v>0.14367228859363027</v>
      </c>
      <c r="AP142" s="41">
        <f t="shared" si="129"/>
        <v>-0.35888997851284066</v>
      </c>
      <c r="AQ142" s="41">
        <f t="shared" si="130"/>
        <v>-0.10810054542681469</v>
      </c>
      <c r="AR142" s="43">
        <f t="shared" si="94"/>
        <v>1.3286223405094879</v>
      </c>
      <c r="AS142" s="41">
        <f t="shared" si="95"/>
        <v>76.124452677987009</v>
      </c>
      <c r="AU142" s="48">
        <f t="shared" si="131"/>
        <v>0.10887221267358224</v>
      </c>
      <c r="AV142" s="48">
        <f t="shared" si="115"/>
        <v>6.2379182924469747</v>
      </c>
      <c r="AW142" s="49">
        <f t="shared" si="116"/>
        <v>1.2197501278359058</v>
      </c>
      <c r="AX142" s="48">
        <f t="shared" si="132"/>
        <v>-1.208248827674687</v>
      </c>
      <c r="AY142" s="48">
        <f t="shared" si="133"/>
        <v>-1.2461774675073922</v>
      </c>
      <c r="AZ142" s="50">
        <f t="shared" si="117"/>
        <v>-1.6771712984900544E-2</v>
      </c>
      <c r="BA142" s="48">
        <f t="shared" si="118"/>
        <v>-0.9609483692395614</v>
      </c>
      <c r="BB142" s="52">
        <f t="shared" si="134"/>
        <v>6.6945398050114985E-2</v>
      </c>
      <c r="BC142" s="44">
        <f t="shared" si="119"/>
        <v>0.10887221267358224</v>
      </c>
    </row>
    <row r="143" spans="4:55" x14ac:dyDescent="0.3">
      <c r="D143">
        <f t="shared" si="120"/>
        <v>1.410000000000001</v>
      </c>
      <c r="F143" s="5">
        <f t="shared" si="96"/>
        <v>0.8348960921441293</v>
      </c>
      <c r="G143" s="6">
        <f t="shared" si="97"/>
        <v>47.836022411824096</v>
      </c>
      <c r="I143" s="9">
        <f t="shared" si="98"/>
        <v>0.83621309033957492</v>
      </c>
      <c r="J143" s="9">
        <f t="shared" si="99"/>
        <v>47.911480850049472</v>
      </c>
      <c r="K143" s="9">
        <f t="shared" si="100"/>
        <v>-6.0359012715033646</v>
      </c>
      <c r="L143" s="9">
        <f t="shared" si="101"/>
        <v>-0.1053463505130459</v>
      </c>
      <c r="M143" s="11">
        <f t="shared" si="91"/>
        <v>8.1177699200283948E-2</v>
      </c>
      <c r="O143" s="15">
        <f t="shared" si="102"/>
        <v>0.87083042802164001</v>
      </c>
      <c r="P143" s="15">
        <f t="shared" si="103"/>
        <v>49.894908197210995</v>
      </c>
      <c r="Q143" s="15">
        <v>-6.0359012715033602</v>
      </c>
      <c r="R143" s="15">
        <f t="shared" si="104"/>
        <v>-0.10534635051304582</v>
      </c>
      <c r="S143" s="16">
        <f t="shared" si="92"/>
        <v>4.0847653972531095E-3</v>
      </c>
      <c r="U143" s="23">
        <f t="shared" si="121"/>
        <v>0.86339753674095265</v>
      </c>
      <c r="V143" s="23">
        <f t="shared" si="105"/>
        <v>49.469034897248015</v>
      </c>
      <c r="W143" s="23">
        <f t="shared" si="106"/>
        <v>9.2670892562121132E-3</v>
      </c>
      <c r="X143" s="23">
        <f t="shared" si="122"/>
        <v>4.3110246596621576E-2</v>
      </c>
      <c r="Y143" s="23">
        <f t="shared" si="123"/>
        <v>-8.9804019601902318E-3</v>
      </c>
      <c r="Z143" s="26">
        <f t="shared" si="107"/>
        <v>-0.10470976969586643</v>
      </c>
      <c r="AA143" s="23">
        <f t="shared" si="108"/>
        <v>-5.9994278773599916</v>
      </c>
      <c r="AB143" s="24">
        <f t="shared" si="124"/>
        <v>8.8942113657466404E-3</v>
      </c>
      <c r="AD143" s="33">
        <f t="shared" si="125"/>
        <v>0.87405006550797837</v>
      </c>
      <c r="AE143" s="33">
        <f t="shared" si="109"/>
        <v>50.079379836740287</v>
      </c>
      <c r="AF143" s="33">
        <f t="shared" si="110"/>
        <v>-1.3854395108136019E-3</v>
      </c>
      <c r="AG143" s="33">
        <f t="shared" si="126"/>
        <v>5.4102843066794366E-2</v>
      </c>
      <c r="AH143" s="33">
        <f t="shared" si="127"/>
        <v>1.3425794609944752E-3</v>
      </c>
      <c r="AI143" s="35">
        <f t="shared" si="93"/>
        <v>-0.1054415200092665</v>
      </c>
      <c r="AJ143" s="33">
        <f t="shared" si="111"/>
        <v>-6.0413540819751912</v>
      </c>
      <c r="AK143" s="37">
        <f t="shared" si="128"/>
        <v>-1.32969387722226E-3</v>
      </c>
      <c r="AM143" s="41">
        <f t="shared" si="112"/>
        <v>-0.14258356646689443</v>
      </c>
      <c r="AN143" s="41">
        <f t="shared" si="113"/>
        <v>-8.1694365864761025</v>
      </c>
      <c r="AO143" s="42">
        <f t="shared" si="114"/>
        <v>0.14258356646689443</v>
      </c>
      <c r="AP143" s="41">
        <f t="shared" si="129"/>
        <v>-0.35746414284817174</v>
      </c>
      <c r="AQ143" s="41">
        <f t="shared" si="130"/>
        <v>-0.10887221267358305</v>
      </c>
      <c r="AR143" s="43">
        <f t="shared" si="94"/>
        <v>1.3169634519953612</v>
      </c>
      <c r="AS143" s="41">
        <f t="shared" si="95"/>
        <v>75.456447572313991</v>
      </c>
      <c r="AU143" s="48">
        <f t="shared" si="131"/>
        <v>0.10954166665408339</v>
      </c>
      <c r="AV143" s="48">
        <f t="shared" si="115"/>
        <v>6.2762751801079242</v>
      </c>
      <c r="AW143" s="49">
        <f t="shared" si="116"/>
        <v>1.2074217853412779</v>
      </c>
      <c r="AX143" s="48">
        <f t="shared" si="132"/>
        <v>-1.1961746098212742</v>
      </c>
      <c r="AY143" s="48">
        <f t="shared" si="133"/>
        <v>-1.2328342494627886</v>
      </c>
      <c r="AZ143" s="50">
        <f t="shared" si="117"/>
        <v>-1.6330179792693356E-2</v>
      </c>
      <c r="BA143" s="48">
        <f t="shared" si="118"/>
        <v>-0.93565038081115093</v>
      </c>
      <c r="BB143" s="52">
        <f t="shared" si="134"/>
        <v>5.7309126790410725E-2</v>
      </c>
      <c r="BC143" s="44">
        <f t="shared" si="119"/>
        <v>0.10954166665408339</v>
      </c>
    </row>
    <row r="144" spans="4:55" x14ac:dyDescent="0.3">
      <c r="D144">
        <f t="shared" si="120"/>
        <v>1.420000000000001</v>
      </c>
      <c r="F144" s="5">
        <f t="shared" si="96"/>
        <v>0.83572790213561055</v>
      </c>
      <c r="G144" s="6">
        <f t="shared" si="97"/>
        <v>47.883681613692787</v>
      </c>
      <c r="I144" s="9">
        <f t="shared" si="98"/>
        <v>0.83702486733157777</v>
      </c>
      <c r="J144" s="9">
        <f t="shared" si="99"/>
        <v>47.957992245597062</v>
      </c>
      <c r="K144" s="9">
        <f t="shared" si="100"/>
        <v>-6.0359012715033646</v>
      </c>
      <c r="L144" s="9">
        <f t="shared" si="101"/>
        <v>-0.1053463505130459</v>
      </c>
      <c r="M144" s="11">
        <f t="shared" si="91"/>
        <v>7.9369868959781931E-2</v>
      </c>
      <c r="O144" s="15">
        <f t="shared" si="102"/>
        <v>0.87087127567561251</v>
      </c>
      <c r="P144" s="15">
        <f t="shared" si="103"/>
        <v>49.897248595386628</v>
      </c>
      <c r="Q144" s="15">
        <v>-6.0359012715033602</v>
      </c>
      <c r="R144" s="15">
        <f t="shared" si="104"/>
        <v>-0.10534635051304582</v>
      </c>
      <c r="S144" s="16">
        <f t="shared" si="92"/>
        <v>3.9937975269728199E-3</v>
      </c>
      <c r="U144" s="23">
        <f t="shared" si="121"/>
        <v>0.86348647885461016</v>
      </c>
      <c r="V144" s="23">
        <f t="shared" si="105"/>
        <v>49.474130904981564</v>
      </c>
      <c r="W144" s="23">
        <f t="shared" si="106"/>
        <v>9.1781471425546046E-3</v>
      </c>
      <c r="X144" s="23">
        <f t="shared" si="122"/>
        <v>4.320202806804712E-2</v>
      </c>
      <c r="Y144" s="23">
        <f t="shared" si="123"/>
        <v>-8.8942113657508592E-3</v>
      </c>
      <c r="Z144" s="26">
        <f t="shared" si="107"/>
        <v>-0.10471587936437469</v>
      </c>
      <c r="AA144" s="23">
        <f t="shared" si="108"/>
        <v>-5.9997779355797398</v>
      </c>
      <c r="AB144" s="24">
        <f t="shared" si="124"/>
        <v>8.80884799690973E-3</v>
      </c>
      <c r="AD144" s="33">
        <f t="shared" si="125"/>
        <v>0.87403676856920609</v>
      </c>
      <c r="AE144" s="33">
        <f t="shared" si="109"/>
        <v>50.078617978268191</v>
      </c>
      <c r="AF144" s="33">
        <f t="shared" si="110"/>
        <v>-1.3721425720413238E-3</v>
      </c>
      <c r="AG144" s="33">
        <f t="shared" si="126"/>
        <v>5.4089121641073955E-2</v>
      </c>
      <c r="AH144" s="33">
        <f t="shared" si="127"/>
        <v>1.3296938772278111E-3</v>
      </c>
      <c r="AI144" s="35">
        <f t="shared" si="93"/>
        <v>-0.1054406066074514</v>
      </c>
      <c r="AJ144" s="33">
        <f t="shared" si="111"/>
        <v>-6.0413017479061866</v>
      </c>
      <c r="AK144" s="37">
        <f t="shared" si="128"/>
        <v>-1.3169319645300881E-3</v>
      </c>
      <c r="AM144" s="41">
        <f t="shared" si="112"/>
        <v>-0.1414881498003536</v>
      </c>
      <c r="AN144" s="41">
        <f t="shared" si="113"/>
        <v>-8.1066738346750231</v>
      </c>
      <c r="AO144" s="42">
        <f t="shared" si="114"/>
        <v>0.1414881498003536</v>
      </c>
      <c r="AP144" s="41">
        <f t="shared" si="129"/>
        <v>-0.35604926135016818</v>
      </c>
      <c r="AQ144" s="41">
        <f t="shared" si="130"/>
        <v>-0.10954166665408382</v>
      </c>
      <c r="AR144" s="43">
        <f t="shared" si="94"/>
        <v>1.3053398313494522</v>
      </c>
      <c r="AS144" s="41">
        <f t="shared" si="95"/>
        <v>74.790463166642283</v>
      </c>
      <c r="AU144" s="48">
        <f t="shared" si="131"/>
        <v>0.11011475792198751</v>
      </c>
      <c r="AV144" s="48">
        <f t="shared" si="115"/>
        <v>6.3091108910346314</v>
      </c>
      <c r="AW144" s="49">
        <f t="shared" si="116"/>
        <v>1.1952250734274648</v>
      </c>
      <c r="AX144" s="48">
        <f t="shared" si="132"/>
        <v>-1.1842223590869996</v>
      </c>
      <c r="AY144" s="48">
        <f t="shared" si="133"/>
        <v>-1.2196711913813107</v>
      </c>
      <c r="AZ144" s="50">
        <f t="shared" si="117"/>
        <v>-1.5907072724023807E-2</v>
      </c>
      <c r="BA144" s="48">
        <f t="shared" si="118"/>
        <v>-0.91140813149423383</v>
      </c>
      <c r="BB144" s="52">
        <f t="shared" si="134"/>
        <v>4.822738036572044E-2</v>
      </c>
      <c r="BC144" s="44">
        <f t="shared" si="119"/>
        <v>0.11011475792198751</v>
      </c>
    </row>
    <row r="145" spans="4:55" x14ac:dyDescent="0.3">
      <c r="D145">
        <f t="shared" si="120"/>
        <v>1.430000000000001</v>
      </c>
      <c r="F145" s="5">
        <f t="shared" si="96"/>
        <v>0.83654139243629777</v>
      </c>
      <c r="G145" s="6">
        <f t="shared" si="97"/>
        <v>47.930291174596988</v>
      </c>
      <c r="I145" s="9">
        <f t="shared" si="98"/>
        <v>0.83781856602117555</v>
      </c>
      <c r="J145" s="9">
        <f t="shared" si="99"/>
        <v>48.003467830716076</v>
      </c>
      <c r="K145" s="9">
        <f t="shared" si="100"/>
        <v>-6.0359012715033646</v>
      </c>
      <c r="L145" s="9">
        <f t="shared" si="101"/>
        <v>-0.1053463505130459</v>
      </c>
      <c r="M145" s="11">
        <f t="shared" si="91"/>
        <v>7.7602299162858879E-2</v>
      </c>
      <c r="O145" s="15">
        <f t="shared" si="102"/>
        <v>0.8709112136508822</v>
      </c>
      <c r="P145" s="15">
        <f t="shared" si="103"/>
        <v>49.899536872811879</v>
      </c>
      <c r="Q145" s="15">
        <v>-6.0359012715033602</v>
      </c>
      <c r="R145" s="15">
        <f t="shared" si="104"/>
        <v>-0.10534635051304582</v>
      </c>
      <c r="S145" s="16">
        <f t="shared" si="92"/>
        <v>3.9048555143903485E-3</v>
      </c>
      <c r="U145" s="23">
        <f t="shared" si="121"/>
        <v>0.86357456733457927</v>
      </c>
      <c r="V145" s="23">
        <f t="shared" si="105"/>
        <v>49.479178003107521</v>
      </c>
      <c r="W145" s="23">
        <f t="shared" si="106"/>
        <v>9.0900586625854984E-3</v>
      </c>
      <c r="X145" s="23">
        <f t="shared" si="122"/>
        <v>4.3292928654672977E-2</v>
      </c>
      <c r="Y145" s="23">
        <f t="shared" si="123"/>
        <v>-8.8088479969106181E-3</v>
      </c>
      <c r="Z145" s="26">
        <f t="shared" si="107"/>
        <v>-0.1047219303945324</v>
      </c>
      <c r="AA145" s="23">
        <f t="shared" si="108"/>
        <v>-6.0001246340694827</v>
      </c>
      <c r="AB145" s="24">
        <f t="shared" si="124"/>
        <v>8.7243039142903545E-3</v>
      </c>
      <c r="AD145" s="33">
        <f t="shared" si="125"/>
        <v>0.87402359924956075</v>
      </c>
      <c r="AE145" s="33">
        <f t="shared" si="109"/>
        <v>50.077863431833457</v>
      </c>
      <c r="AF145" s="33">
        <f t="shared" si="110"/>
        <v>-1.3589732523959785E-3</v>
      </c>
      <c r="AG145" s="33">
        <f t="shared" si="126"/>
        <v>5.4075531908549995E-2</v>
      </c>
      <c r="AH145" s="33">
        <f t="shared" si="127"/>
        <v>1.316931964534529E-3</v>
      </c>
      <c r="AI145" s="35">
        <f t="shared" si="93"/>
        <v>-0.10543970197213071</v>
      </c>
      <c r="AJ145" s="33">
        <f t="shared" si="111"/>
        <v>-6.0412499161203126</v>
      </c>
      <c r="AK145" s="37">
        <f t="shared" si="128"/>
        <v>-1.3042925359851854E-3</v>
      </c>
      <c r="AM145" s="41">
        <f t="shared" si="112"/>
        <v>-0.14038700222113373</v>
      </c>
      <c r="AN145" s="41">
        <f t="shared" si="113"/>
        <v>-8.0435827257646775</v>
      </c>
      <c r="AO145" s="42">
        <f t="shared" si="114"/>
        <v>0.14038700222113373</v>
      </c>
      <c r="AP145" s="41">
        <f t="shared" si="129"/>
        <v>-0.35464539132795686</v>
      </c>
      <c r="AQ145" s="41">
        <f t="shared" si="130"/>
        <v>-0.11011475792198633</v>
      </c>
      <c r="AR145" s="43">
        <f t="shared" si="94"/>
        <v>1.2937552642893511</v>
      </c>
      <c r="AS145" s="41">
        <f t="shared" si="95"/>
        <v>74.1267163666122</v>
      </c>
      <c r="AU145" s="48">
        <f t="shared" si="131"/>
        <v>0.11059703172564471</v>
      </c>
      <c r="AV145" s="48">
        <f t="shared" si="115"/>
        <v>6.3367431445539095</v>
      </c>
      <c r="AW145" s="49">
        <f t="shared" si="116"/>
        <v>1.1831582325637064</v>
      </c>
      <c r="AX145" s="48">
        <f t="shared" si="132"/>
        <v>-1.1723907767613626</v>
      </c>
      <c r="AY145" s="48">
        <f t="shared" si="133"/>
        <v>-1.206684086375831</v>
      </c>
      <c r="AZ145" s="50">
        <f t="shared" si="117"/>
        <v>-1.5501491172808524E-2</v>
      </c>
      <c r="BA145" s="48">
        <f t="shared" si="118"/>
        <v>-0.88817002036122905</v>
      </c>
      <c r="BB145" s="52">
        <f t="shared" si="134"/>
        <v>3.9671195126568082E-2</v>
      </c>
      <c r="BC145" s="44">
        <f t="shared" si="119"/>
        <v>0.11059703172564471</v>
      </c>
    </row>
    <row r="146" spans="4:55" x14ac:dyDescent="0.3">
      <c r="D146">
        <f t="shared" si="120"/>
        <v>1.4400000000000011</v>
      </c>
      <c r="F146" s="5">
        <f t="shared" si="96"/>
        <v>0.83733696651702494</v>
      </c>
      <c r="G146" s="6">
        <f t="shared" si="97"/>
        <v>47.975874211712657</v>
      </c>
      <c r="I146" s="9">
        <f t="shared" si="98"/>
        <v>0.83859458901280415</v>
      </c>
      <c r="J146" s="9">
        <f t="shared" si="99"/>
        <v>48.047930672941511</v>
      </c>
      <c r="K146" s="9">
        <f t="shared" si="100"/>
        <v>-6.0359012715033646</v>
      </c>
      <c r="L146" s="9">
        <f t="shared" si="101"/>
        <v>-0.1053463505130459</v>
      </c>
      <c r="M146" s="11">
        <f t="shared" si="91"/>
        <v>7.5874093208007531E-2</v>
      </c>
      <c r="O146" s="15">
        <f t="shared" si="102"/>
        <v>0.87095026220602612</v>
      </c>
      <c r="P146" s="15">
        <f t="shared" si="103"/>
        <v>49.901774190217708</v>
      </c>
      <c r="Q146" s="15">
        <v>-6.0359012715033602</v>
      </c>
      <c r="R146" s="15">
        <f t="shared" si="104"/>
        <v>-0.10534635051304582</v>
      </c>
      <c r="S146" s="16">
        <f t="shared" si="92"/>
        <v>3.8178942435824759E-3</v>
      </c>
      <c r="U146" s="23">
        <f t="shared" si="121"/>
        <v>0.86366181037372214</v>
      </c>
      <c r="V146" s="23">
        <f t="shared" si="105"/>
        <v>49.484176661042298</v>
      </c>
      <c r="W146" s="23">
        <f t="shared" si="106"/>
        <v>9.0028156234426282E-3</v>
      </c>
      <c r="X146" s="23">
        <f t="shared" si="122"/>
        <v>4.3382956810907404E-2</v>
      </c>
      <c r="Y146" s="23">
        <f t="shared" si="123"/>
        <v>-8.7243039142870238E-3</v>
      </c>
      <c r="Z146" s="26">
        <f t="shared" si="107"/>
        <v>-0.10472792334912863</v>
      </c>
      <c r="AA146" s="23">
        <f t="shared" si="108"/>
        <v>-6.0004680050746604</v>
      </c>
      <c r="AB146" s="24">
        <f t="shared" si="124"/>
        <v>8.6405712546755442E-3</v>
      </c>
      <c r="AD146" s="33">
        <f t="shared" si="125"/>
        <v>0.87401055632420088</v>
      </c>
      <c r="AE146" s="33">
        <f t="shared" si="109"/>
        <v>50.077116127257831</v>
      </c>
      <c r="AF146" s="33">
        <f t="shared" si="110"/>
        <v>-1.3459303270361156E-3</v>
      </c>
      <c r="AG146" s="33">
        <f t="shared" si="126"/>
        <v>5.4062072605279635E-2</v>
      </c>
      <c r="AH146" s="33">
        <f t="shared" si="127"/>
        <v>1.3042925359862956E-3</v>
      </c>
      <c r="AI146" s="35">
        <f t="shared" si="93"/>
        <v>-0.10543880601916697</v>
      </c>
      <c r="AJ146" s="33">
        <f t="shared" si="111"/>
        <v>-6.0411985817968477</v>
      </c>
      <c r="AK146" s="37">
        <f t="shared" si="128"/>
        <v>-1.2917744160267919E-3</v>
      </c>
      <c r="AM146" s="41">
        <f t="shared" si="112"/>
        <v>-0.13928103190387728</v>
      </c>
      <c r="AN146" s="41">
        <f t="shared" si="113"/>
        <v>-7.9802152943191373</v>
      </c>
      <c r="AO146" s="42">
        <f t="shared" si="114"/>
        <v>0.13928103190387728</v>
      </c>
      <c r="AP146" s="41">
        <f t="shared" si="129"/>
        <v>-0.3532525810089181</v>
      </c>
      <c r="AQ146" s="41">
        <f t="shared" si="130"/>
        <v>-0.1105970317256455</v>
      </c>
      <c r="AR146" s="43">
        <f t="shared" si="94"/>
        <v>1.2822132873131273</v>
      </c>
      <c r="AS146" s="41">
        <f t="shared" si="95"/>
        <v>73.465409798637424</v>
      </c>
      <c r="AU146" s="48">
        <f t="shared" si="131"/>
        <v>0.11099374367691039</v>
      </c>
      <c r="AV146" s="48">
        <f t="shared" si="115"/>
        <v>6.3594730650438329</v>
      </c>
      <c r="AW146" s="49">
        <f t="shared" si="116"/>
        <v>1.1712195436362169</v>
      </c>
      <c r="AX146" s="48">
        <f t="shared" si="132"/>
        <v>-1.1606785813250005</v>
      </c>
      <c r="AY146" s="48">
        <f t="shared" si="133"/>
        <v>-1.1938688927489505</v>
      </c>
      <c r="AZ146" s="50">
        <f t="shared" si="117"/>
        <v>-1.5112580158688216E-2</v>
      </c>
      <c r="BA146" s="48">
        <f t="shared" si="118"/>
        <v>-0.86588706064598264</v>
      </c>
      <c r="BB146" s="52">
        <f t="shared" si="134"/>
        <v>3.1613094147358856E-2</v>
      </c>
      <c r="BC146" s="44">
        <f t="shared" si="119"/>
        <v>0.11099374367691039</v>
      </c>
    </row>
    <row r="147" spans="4:55" x14ac:dyDescent="0.3">
      <c r="D147">
        <f t="shared" si="120"/>
        <v>1.4500000000000011</v>
      </c>
      <c r="F147" s="5">
        <f t="shared" si="96"/>
        <v>0.83811501896262874</v>
      </c>
      <c r="G147" s="6">
        <f t="shared" si="97"/>
        <v>48.020453333085584</v>
      </c>
      <c r="I147" s="9">
        <f t="shared" si="98"/>
        <v>0.83935332994488421</v>
      </c>
      <c r="J147" s="9">
        <f t="shared" si="99"/>
        <v>48.091403326093527</v>
      </c>
      <c r="K147" s="9">
        <f t="shared" si="100"/>
        <v>-6.0359012715033646</v>
      </c>
      <c r="L147" s="9">
        <f t="shared" si="101"/>
        <v>-0.1053463505130459</v>
      </c>
      <c r="M147" s="11">
        <f t="shared" si="91"/>
        <v>7.4184374461068403E-2</v>
      </c>
      <c r="O147" s="15">
        <f t="shared" si="102"/>
        <v>0.87098844114846197</v>
      </c>
      <c r="P147" s="15">
        <f t="shared" si="103"/>
        <v>49.903961682485559</v>
      </c>
      <c r="Q147" s="15">
        <v>-6.0359012715033602</v>
      </c>
      <c r="R147" s="15">
        <f t="shared" si="104"/>
        <v>-0.10534635051304582</v>
      </c>
      <c r="S147" s="16">
        <f t="shared" si="92"/>
        <v>3.7328696033600561E-3</v>
      </c>
      <c r="U147" s="23">
        <f t="shared" si="121"/>
        <v>0.86374821608626884</v>
      </c>
      <c r="V147" s="23">
        <f t="shared" si="105"/>
        <v>49.489127343697042</v>
      </c>
      <c r="W147" s="23">
        <f t="shared" si="106"/>
        <v>8.9164099108959283E-3</v>
      </c>
      <c r="X147" s="23">
        <f t="shared" si="122"/>
        <v>4.3472120910016364E-2</v>
      </c>
      <c r="Y147" s="23">
        <f t="shared" si="123"/>
        <v>-8.6405712546699931E-3</v>
      </c>
      <c r="Z147" s="26">
        <f t="shared" si="107"/>
        <v>-0.10473385878555123</v>
      </c>
      <c r="AA147" s="23">
        <f t="shared" si="108"/>
        <v>-6.0008080805312431</v>
      </c>
      <c r="AB147" s="24">
        <f t="shared" si="124"/>
        <v>8.5576422303257349E-3</v>
      </c>
      <c r="AD147" s="33">
        <f t="shared" si="125"/>
        <v>0.87399763858004065</v>
      </c>
      <c r="AE147" s="33">
        <f t="shared" si="109"/>
        <v>50.076375995036621</v>
      </c>
      <c r="AF147" s="33">
        <f t="shared" si="110"/>
        <v>-1.333012582875881E-3</v>
      </c>
      <c r="AG147" s="33">
        <f t="shared" si="126"/>
        <v>5.4048742479450879E-2</v>
      </c>
      <c r="AH147" s="33">
        <f t="shared" si="127"/>
        <v>1.2917744160234612E-3</v>
      </c>
      <c r="AI147" s="35">
        <f t="shared" si="93"/>
        <v>-0.10543791866523011</v>
      </c>
      <c r="AJ147" s="33">
        <f t="shared" si="111"/>
        <v>-6.0411477401613318</v>
      </c>
      <c r="AK147" s="37">
        <f t="shared" si="128"/>
        <v>-1.2793764403806751E-3</v>
      </c>
      <c r="AM147" s="41">
        <f t="shared" si="112"/>
        <v>-0.13817109446710818</v>
      </c>
      <c r="AN147" s="41">
        <f t="shared" si="113"/>
        <v>-7.9166205636686993</v>
      </c>
      <c r="AO147" s="42">
        <f t="shared" si="114"/>
        <v>0.13817109446710818</v>
      </c>
      <c r="AP147" s="41">
        <f t="shared" si="129"/>
        <v>-0.351870870064247</v>
      </c>
      <c r="AQ147" s="41">
        <f t="shared" si="130"/>
        <v>-0.11099374367690984</v>
      </c>
      <c r="AR147" s="43">
        <f t="shared" si="94"/>
        <v>1.2707172009941718</v>
      </c>
      <c r="AS147" s="41">
        <f t="shared" si="95"/>
        <v>72.806732571643181</v>
      </c>
      <c r="AU147" s="48">
        <f t="shared" si="131"/>
        <v>0.11130987461838399</v>
      </c>
      <c r="AV147" s="48">
        <f t="shared" si="115"/>
        <v>6.3775860337637669</v>
      </c>
      <c r="AW147" s="49">
        <f t="shared" si="116"/>
        <v>1.1594073263757878</v>
      </c>
      <c r="AX147" s="48">
        <f t="shared" si="132"/>
        <v>-1.1490845080612426</v>
      </c>
      <c r="AY147" s="48">
        <f t="shared" si="133"/>
        <v>-1.1812217260429136</v>
      </c>
      <c r="AZ147" s="50">
        <f t="shared" si="117"/>
        <v>-1.473952799887579E-2</v>
      </c>
      <c r="BA147" s="48">
        <f t="shared" si="118"/>
        <v>-0.84451274635049078</v>
      </c>
      <c r="BB147" s="52">
        <f t="shared" si="134"/>
        <v>2.4027011167290058E-2</v>
      </c>
      <c r="BC147" s="44">
        <f t="shared" si="119"/>
        <v>0.11130987461838399</v>
      </c>
    </row>
    <row r="148" spans="4:55" x14ac:dyDescent="0.3">
      <c r="D148">
        <f t="shared" si="120"/>
        <v>1.4600000000000011</v>
      </c>
      <c r="F148" s="5">
        <f t="shared" si="96"/>
        <v>0.83887593566765373</v>
      </c>
      <c r="G148" s="6">
        <f t="shared" si="97"/>
        <v>48.064050648844521</v>
      </c>
      <c r="I148" s="9">
        <f t="shared" si="98"/>
        <v>0.84009517368949493</v>
      </c>
      <c r="J148" s="9">
        <f t="shared" si="99"/>
        <v>48.1339078417179</v>
      </c>
      <c r="K148" s="9">
        <f t="shared" si="100"/>
        <v>-6.0359012715033646</v>
      </c>
      <c r="L148" s="9">
        <f t="shared" si="101"/>
        <v>-0.1053463505130459</v>
      </c>
      <c r="M148" s="11">
        <f t="shared" si="91"/>
        <v>7.2532285810556818E-2</v>
      </c>
      <c r="O148" s="15">
        <f t="shared" si="102"/>
        <v>0.87102576984449553</v>
      </c>
      <c r="P148" s="15">
        <f t="shared" si="103"/>
        <v>49.906100459223005</v>
      </c>
      <c r="Q148" s="15">
        <v>-6.0359012715033602</v>
      </c>
      <c r="R148" s="15">
        <f t="shared" si="104"/>
        <v>-0.10534635051304582</v>
      </c>
      <c r="S148" s="16">
        <f t="shared" si="92"/>
        <v>3.6497384648914721E-3</v>
      </c>
      <c r="U148" s="23">
        <f t="shared" si="121"/>
        <v>0.86383379250857206</v>
      </c>
      <c r="V148" s="23">
        <f t="shared" si="105"/>
        <v>49.494030511520847</v>
      </c>
      <c r="W148" s="23">
        <f t="shared" si="106"/>
        <v>8.8308334885927042E-3</v>
      </c>
      <c r="X148" s="23">
        <f t="shared" si="122"/>
        <v>4.3560429244902291E-2</v>
      </c>
      <c r="Y148" s="23">
        <f t="shared" si="123"/>
        <v>-8.5576422303224042E-3</v>
      </c>
      <c r="Z148" s="26">
        <f t="shared" si="107"/>
        <v>-0.10473973725583838</v>
      </c>
      <c r="AA148" s="23">
        <f t="shared" si="108"/>
        <v>-6.0011448920686901</v>
      </c>
      <c r="AB148" s="24">
        <f t="shared" si="124"/>
        <v>8.4755091282426864E-3</v>
      </c>
      <c r="AD148" s="33">
        <f t="shared" si="125"/>
        <v>0.87398484481563687</v>
      </c>
      <c r="AE148" s="33">
        <f t="shared" si="109"/>
        <v>50.075642966332204</v>
      </c>
      <c r="AF148" s="33">
        <f t="shared" si="110"/>
        <v>-1.3202188184721075E-3</v>
      </c>
      <c r="AG148" s="33">
        <f t="shared" si="126"/>
        <v>5.4035540291266157E-2</v>
      </c>
      <c r="AH148" s="33">
        <f t="shared" si="127"/>
        <v>1.2793764403773444E-3</v>
      </c>
      <c r="AI148" s="35">
        <f t="shared" si="93"/>
        <v>-0.10543703982778999</v>
      </c>
      <c r="AJ148" s="33">
        <f t="shared" si="111"/>
        <v>-6.0410973864851343</v>
      </c>
      <c r="AK148" s="37">
        <f t="shared" si="128"/>
        <v>-1.2670974559423342E-3</v>
      </c>
      <c r="AM148" s="41">
        <f t="shared" si="112"/>
        <v>-0.13705799572092434</v>
      </c>
      <c r="AN148" s="41">
        <f t="shared" si="113"/>
        <v>-7.8528447033310611</v>
      </c>
      <c r="AO148" s="42">
        <f t="shared" si="114"/>
        <v>0.13705799572092434</v>
      </c>
      <c r="AP148" s="41">
        <f t="shared" si="129"/>
        <v>-0.35050029010703776</v>
      </c>
      <c r="AQ148" s="41">
        <f t="shared" si="130"/>
        <v>-0.11130987461838437</v>
      </c>
      <c r="AR148" s="43">
        <f t="shared" si="94"/>
        <v>1.2592700825908589</v>
      </c>
      <c r="AS148" s="41">
        <f t="shared" si="95"/>
        <v>72.150860999546822</v>
      </c>
      <c r="AU148" s="48">
        <f t="shared" si="131"/>
        <v>0.11155014473005688</v>
      </c>
      <c r="AV148" s="48">
        <f t="shared" si="115"/>
        <v>6.3913524971057614</v>
      </c>
      <c r="AW148" s="49">
        <f t="shared" si="116"/>
        <v>1.1477199378608021</v>
      </c>
      <c r="AX148" s="48">
        <f t="shared" si="132"/>
        <v>-1.1376073086826346</v>
      </c>
      <c r="AY148" s="48">
        <f t="shared" si="133"/>
        <v>-1.1687388514985741</v>
      </c>
      <c r="AZ148" s="50">
        <f t="shared" si="117"/>
        <v>-1.4381564098842059E-2</v>
      </c>
      <c r="BA148" s="48">
        <f t="shared" si="118"/>
        <v>-0.82400292566051503</v>
      </c>
      <c r="BB148" s="52">
        <f t="shared" si="134"/>
        <v>1.6888218417413253E-2</v>
      </c>
      <c r="BC148" s="44">
        <f t="shared" si="119"/>
        <v>0.11155014473005688</v>
      </c>
    </row>
    <row r="149" spans="4:55" x14ac:dyDescent="0.3">
      <c r="D149">
        <f t="shared" si="120"/>
        <v>1.4700000000000011</v>
      </c>
      <c r="F149" s="5">
        <f t="shared" si="96"/>
        <v>0.83962009402774573</v>
      </c>
      <c r="G149" s="6">
        <f t="shared" si="97"/>
        <v>48.106687782167171</v>
      </c>
      <c r="I149" s="9">
        <f t="shared" si="98"/>
        <v>0.84082049654760049</v>
      </c>
      <c r="J149" s="9">
        <f t="shared" si="99"/>
        <v>48.175465780271715</v>
      </c>
      <c r="K149" s="9">
        <f t="shared" si="100"/>
        <v>-6.0359012715033646</v>
      </c>
      <c r="L149" s="9">
        <f t="shared" si="101"/>
        <v>-0.1053463505130459</v>
      </c>
      <c r="M149" s="11">
        <f t="shared" si="91"/>
        <v>7.0916989232890693E-2</v>
      </c>
      <c r="O149" s="15">
        <f t="shared" si="102"/>
        <v>0.87106226722914448</v>
      </c>
      <c r="P149" s="15">
        <f t="shared" si="103"/>
        <v>49.908191605326657</v>
      </c>
      <c r="Q149" s="15">
        <v>-6.0359012715033602</v>
      </c>
      <c r="R149" s="15">
        <f t="shared" si="104"/>
        <v>-0.10534635051304582</v>
      </c>
      <c r="S149" s="16">
        <f t="shared" si="92"/>
        <v>3.5684586598245804E-3</v>
      </c>
      <c r="U149" s="23">
        <f t="shared" si="121"/>
        <v>0.86391854759985454</v>
      </c>
      <c r="V149" s="23">
        <f t="shared" si="105"/>
        <v>49.49888662054358</v>
      </c>
      <c r="W149" s="23">
        <f t="shared" si="106"/>
        <v>8.7460783973102307E-3</v>
      </c>
      <c r="X149" s="23">
        <f t="shared" si="122"/>
        <v>4.364789002887539E-2</v>
      </c>
      <c r="Y149" s="23">
        <f t="shared" si="123"/>
        <v>-8.4755091282473494E-3</v>
      </c>
      <c r="Z149" s="26">
        <f t="shared" si="107"/>
        <v>-0.10474555930673</v>
      </c>
      <c r="AA149" s="23">
        <f t="shared" si="108"/>
        <v>-6.0014784710128906</v>
      </c>
      <c r="AB149" s="24">
        <f t="shared" si="124"/>
        <v>8.3941643094567198E-3</v>
      </c>
      <c r="AD149" s="33">
        <f t="shared" si="125"/>
        <v>0.8739721738410775</v>
      </c>
      <c r="AE149" s="33">
        <f t="shared" si="109"/>
        <v>50.074916972967628</v>
      </c>
      <c r="AF149" s="33">
        <f t="shared" si="110"/>
        <v>-1.3075478439127375E-3</v>
      </c>
      <c r="AG149" s="33">
        <f t="shared" si="126"/>
        <v>5.4022464812827027E-2</v>
      </c>
      <c r="AH149" s="33">
        <f t="shared" si="127"/>
        <v>1.2670974559370052E-3</v>
      </c>
      <c r="AI149" s="35">
        <f t="shared" si="93"/>
        <v>-0.10543616942510826</v>
      </c>
      <c r="AJ149" s="33">
        <f t="shared" si="111"/>
        <v>-6.041047516084995</v>
      </c>
      <c r="AK149" s="37">
        <f t="shared" si="128"/>
        <v>-1.2549363206810771E-3</v>
      </c>
      <c r="AM149" s="41">
        <f t="shared" si="112"/>
        <v>-0.13594249427362376</v>
      </c>
      <c r="AN149" s="41">
        <f t="shared" si="113"/>
        <v>-7.788931178360003</v>
      </c>
      <c r="AO149" s="42">
        <f t="shared" si="114"/>
        <v>0.13594249427362376</v>
      </c>
      <c r="AP149" s="41">
        <f t="shared" si="129"/>
        <v>-0.34914086516430154</v>
      </c>
      <c r="AQ149" s="41">
        <f t="shared" si="130"/>
        <v>-0.11155014473005764</v>
      </c>
      <c r="AR149" s="43">
        <f t="shared" si="94"/>
        <v>1.2478747980061802</v>
      </c>
      <c r="AS149" s="41">
        <f t="shared" si="95"/>
        <v>71.497959286494236</v>
      </c>
      <c r="AU149" s="48">
        <f t="shared" si="131"/>
        <v>0.11171902691423101</v>
      </c>
      <c r="AV149" s="48">
        <f t="shared" si="115"/>
        <v>6.4010287334938898</v>
      </c>
      <c r="AW149" s="49">
        <f t="shared" si="116"/>
        <v>1.1361557710919492</v>
      </c>
      <c r="AX149" s="48">
        <f t="shared" si="132"/>
        <v>-1.1262457509717152</v>
      </c>
      <c r="AY149" s="48">
        <f t="shared" si="133"/>
        <v>-1.1564166768852857</v>
      </c>
      <c r="AZ149" s="50">
        <f t="shared" si="117"/>
        <v>-1.4037956856041589E-2</v>
      </c>
      <c r="BA149" s="48">
        <f t="shared" si="118"/>
        <v>-0.80431568083792127</v>
      </c>
      <c r="BB149" s="52">
        <f t="shared" si="134"/>
        <v>1.0173258140352109E-2</v>
      </c>
      <c r="BC149" s="44">
        <f t="shared" si="119"/>
        <v>0.11171902691423101</v>
      </c>
    </row>
    <row r="150" spans="4:55" x14ac:dyDescent="0.3">
      <c r="D150">
        <f t="shared" si="120"/>
        <v>1.4800000000000011</v>
      </c>
      <c r="F150" s="5">
        <f t="shared" si="96"/>
        <v>0.84034786312683063</v>
      </c>
      <c r="G150" s="6">
        <f t="shared" si="97"/>
        <v>48.148385880004767</v>
      </c>
      <c r="I150" s="9">
        <f t="shared" si="98"/>
        <v>0.84152966643992944</v>
      </c>
      <c r="J150" s="9">
        <f t="shared" si="99"/>
        <v>48.216098222059912</v>
      </c>
      <c r="K150" s="9">
        <f t="shared" si="100"/>
        <v>-6.0359012715033646</v>
      </c>
      <c r="L150" s="9">
        <f t="shared" si="101"/>
        <v>-0.1053463505130459</v>
      </c>
      <c r="M150" s="11">
        <f t="shared" si="91"/>
        <v>6.933766536730257E-2</v>
      </c>
      <c r="O150" s="15">
        <f t="shared" si="102"/>
        <v>0.87109795181574268</v>
      </c>
      <c r="P150" s="15">
        <f t="shared" si="103"/>
        <v>49.910236181532404</v>
      </c>
      <c r="Q150" s="15">
        <v>-6.0359012715033602</v>
      </c>
      <c r="R150" s="15">
        <f t="shared" si="104"/>
        <v>-0.10534635051304582</v>
      </c>
      <c r="S150" s="16">
        <f t="shared" si="92"/>
        <v>3.4889889589000411E-3</v>
      </c>
      <c r="U150" s="23">
        <f t="shared" si="121"/>
        <v>0.86400248924294909</v>
      </c>
      <c r="V150" s="23">
        <f t="shared" si="105"/>
        <v>49.50369612241829</v>
      </c>
      <c r="W150" s="23">
        <f t="shared" si="106"/>
        <v>8.6621367542156769E-3</v>
      </c>
      <c r="X150" s="23">
        <f t="shared" si="122"/>
        <v>4.3734511396417548E-2</v>
      </c>
      <c r="Y150" s="23">
        <f t="shared" si="123"/>
        <v>-8.3941643094553875E-3</v>
      </c>
      <c r="Z150" s="26">
        <f t="shared" si="107"/>
        <v>-0.10475132547971917</v>
      </c>
      <c r="AA150" s="23">
        <f t="shared" si="108"/>
        <v>-6.0018088483891123</v>
      </c>
      <c r="AB150" s="24">
        <f t="shared" si="124"/>
        <v>8.3136002083226135E-3</v>
      </c>
      <c r="AD150" s="33">
        <f t="shared" si="125"/>
        <v>0.87395962447787068</v>
      </c>
      <c r="AE150" s="33">
        <f t="shared" si="109"/>
        <v>50.074197947420302</v>
      </c>
      <c r="AF150" s="33">
        <f t="shared" si="110"/>
        <v>-1.2949984807059112E-3</v>
      </c>
      <c r="AG150" s="33">
        <f t="shared" si="126"/>
        <v>5.4009514828019967E-2</v>
      </c>
      <c r="AH150" s="33">
        <f t="shared" si="127"/>
        <v>1.2549363206826314E-3</v>
      </c>
      <c r="AI150" s="35">
        <f t="shared" si="93"/>
        <v>-0.10543530737623152</v>
      </c>
      <c r="AJ150" s="33">
        <f t="shared" si="111"/>
        <v>-6.0409981243226234</v>
      </c>
      <c r="AK150" s="37">
        <f t="shared" si="128"/>
        <v>-1.2428919035178954E-3</v>
      </c>
      <c r="AM150" s="41">
        <f t="shared" si="112"/>
        <v>-0.13482530400448145</v>
      </c>
      <c r="AN150" s="41">
        <f t="shared" si="113"/>
        <v>-7.7249208910250644</v>
      </c>
      <c r="AO150" s="42">
        <f t="shared" si="114"/>
        <v>0.13482530400448145</v>
      </c>
      <c r="AP150" s="41">
        <f t="shared" si="129"/>
        <v>-0.34779261212425672</v>
      </c>
      <c r="AQ150" s="41">
        <f t="shared" si="130"/>
        <v>-0.11171902691423097</v>
      </c>
      <c r="AR150" s="43">
        <f t="shared" si="94"/>
        <v>1.2365340131305835</v>
      </c>
      <c r="AS150" s="41">
        <f t="shared" si="95"/>
        <v>70.848180176756756</v>
      </c>
      <c r="AU150" s="48">
        <f t="shared" si="131"/>
        <v>0.11182075949563453</v>
      </c>
      <c r="AV150" s="48">
        <f t="shared" si="115"/>
        <v>6.4068575810472819</v>
      </c>
      <c r="AW150" s="49">
        <f t="shared" si="116"/>
        <v>1.1247132536349489</v>
      </c>
      <c r="AX150" s="48">
        <f t="shared" si="132"/>
        <v>-1.1149986184353657</v>
      </c>
      <c r="AY150" s="48">
        <f t="shared" si="133"/>
        <v>-1.1442517457000312</v>
      </c>
      <c r="AZ150" s="50">
        <f t="shared" si="117"/>
        <v>-1.3708011670666154E-2</v>
      </c>
      <c r="BA150" s="48">
        <f t="shared" si="118"/>
        <v>-0.78541121424524718</v>
      </c>
      <c r="BB150" s="52">
        <f t="shared" si="134"/>
        <v>3.8598776095229437E-3</v>
      </c>
      <c r="BC150" s="44">
        <f t="shared" si="119"/>
        <v>0.11182075949563453</v>
      </c>
    </row>
    <row r="151" spans="4:55" x14ac:dyDescent="0.3">
      <c r="D151">
        <f t="shared" si="120"/>
        <v>1.4900000000000011</v>
      </c>
      <c r="F151" s="5">
        <f t="shared" si="96"/>
        <v>0.84105960392017132</v>
      </c>
      <c r="G151" s="6">
        <f t="shared" si="97"/>
        <v>48.189165623570482</v>
      </c>
      <c r="I151" s="9">
        <f t="shared" si="98"/>
        <v>0.84222304309360241</v>
      </c>
      <c r="J151" s="9">
        <f t="shared" si="99"/>
        <v>48.255825777928273</v>
      </c>
      <c r="K151" s="9">
        <f t="shared" si="100"/>
        <v>-6.0359012715033646</v>
      </c>
      <c r="L151" s="9">
        <f t="shared" si="101"/>
        <v>-0.1053463505130459</v>
      </c>
      <c r="M151" s="11">
        <f t="shared" si="91"/>
        <v>6.7793513100218306E-2</v>
      </c>
      <c r="O151" s="15">
        <f t="shared" si="102"/>
        <v>0.87113284170533167</v>
      </c>
      <c r="P151" s="15">
        <f t="shared" si="103"/>
        <v>49.912235224953527</v>
      </c>
      <c r="Q151" s="15">
        <v>-6.0359012715033602</v>
      </c>
      <c r="R151" s="15">
        <f t="shared" si="104"/>
        <v>-0.10534635051304582</v>
      </c>
      <c r="S151" s="16">
        <f t="shared" si="92"/>
        <v>3.4112890510333838E-3</v>
      </c>
      <c r="U151" s="23">
        <f t="shared" si="121"/>
        <v>0.8640856252450323</v>
      </c>
      <c r="V151" s="23">
        <f t="shared" si="105"/>
        <v>49.50845946446325</v>
      </c>
      <c r="W151" s="23">
        <f t="shared" si="106"/>
        <v>8.5790007521324707E-3</v>
      </c>
      <c r="X151" s="23">
        <f t="shared" si="122"/>
        <v>4.3820301403938874E-2</v>
      </c>
      <c r="Y151" s="23">
        <f t="shared" si="123"/>
        <v>-8.3136002083206151E-3</v>
      </c>
      <c r="Z151" s="26">
        <f t="shared" si="107"/>
        <v>-0.10475703631110109</v>
      </c>
      <c r="AA151" s="23">
        <f t="shared" si="108"/>
        <v>-6.0021360549248071</v>
      </c>
      <c r="AB151" s="24">
        <f t="shared" si="124"/>
        <v>8.2338093317935179E-3</v>
      </c>
      <c r="AD151" s="33">
        <f t="shared" si="125"/>
        <v>0.87394719555883549</v>
      </c>
      <c r="AE151" s="33">
        <f t="shared" si="109"/>
        <v>50.073485822815677</v>
      </c>
      <c r="AF151" s="33">
        <f t="shared" si="110"/>
        <v>-1.2825695616707211E-3</v>
      </c>
      <c r="AG151" s="33">
        <f t="shared" si="126"/>
        <v>5.3996689132403262E-2</v>
      </c>
      <c r="AH151" s="33">
        <f t="shared" si="127"/>
        <v>1.2428919035190056E-3</v>
      </c>
      <c r="AI151" s="35">
        <f t="shared" si="93"/>
        <v>-0.10543445360098268</v>
      </c>
      <c r="AJ151" s="33">
        <f t="shared" si="111"/>
        <v>-6.0409492066042123</v>
      </c>
      <c r="AK151" s="37">
        <f t="shared" si="128"/>
        <v>-1.230963084241754E-3</v>
      </c>
      <c r="AM151" s="41">
        <f t="shared" si="112"/>
        <v>-0.13370709640952511</v>
      </c>
      <c r="AN151" s="41">
        <f t="shared" si="113"/>
        <v>-7.6608523152145915</v>
      </c>
      <c r="AO151" s="42">
        <f t="shared" si="114"/>
        <v>0.13370709640952511</v>
      </c>
      <c r="AP151" s="41">
        <f t="shared" si="129"/>
        <v>-0.34645554116016147</v>
      </c>
      <c r="AQ151" s="41">
        <f t="shared" si="130"/>
        <v>-0.11182075949563441</v>
      </c>
      <c r="AR151" s="43">
        <f t="shared" si="94"/>
        <v>1.2252502045996165</v>
      </c>
      <c r="AS151" s="41">
        <f t="shared" si="95"/>
        <v>70.20166557109863</v>
      </c>
      <c r="AU151" s="48">
        <f t="shared" si="131"/>
        <v>0.11185935827172976</v>
      </c>
      <c r="AV151" s="48">
        <f t="shared" si="115"/>
        <v>6.4090691280119092</v>
      </c>
      <c r="AW151" s="49">
        <f t="shared" si="116"/>
        <v>1.1133908463278868</v>
      </c>
      <c r="AX151" s="48">
        <f t="shared" si="132"/>
        <v>-1.1038647099720869</v>
      </c>
      <c r="AY151" s="48">
        <f t="shared" si="133"/>
        <v>-1.1322407307062132</v>
      </c>
      <c r="AZ151" s="50">
        <f t="shared" si="117"/>
        <v>-1.339106905806875E-2</v>
      </c>
      <c r="BA151" s="48">
        <f t="shared" si="118"/>
        <v>-0.76725174019556608</v>
      </c>
      <c r="BB151" s="52">
        <f t="shared" si="134"/>
        <v>-2.0730325289062268E-3</v>
      </c>
      <c r="BC151" s="44">
        <f t="shared" si="119"/>
        <v>0.11185935827172976</v>
      </c>
    </row>
    <row r="152" spans="4:55" x14ac:dyDescent="0.3">
      <c r="D152">
        <f t="shared" si="120"/>
        <v>1.5000000000000011</v>
      </c>
      <c r="F152" s="5">
        <f t="shared" si="96"/>
        <v>0.84175566941339186</v>
      </c>
      <c r="G152" s="6">
        <f t="shared" si="97"/>
        <v>48.229047238596713</v>
      </c>
      <c r="I152" s="9">
        <f t="shared" si="98"/>
        <v>0.84290097822460464</v>
      </c>
      <c r="J152" s="9">
        <f t="shared" si="99"/>
        <v>48.294668599718349</v>
      </c>
      <c r="K152" s="9">
        <f t="shared" si="100"/>
        <v>-6.0359012715033646</v>
      </c>
      <c r="L152" s="9">
        <f t="shared" si="101"/>
        <v>-0.1053463505130459</v>
      </c>
      <c r="M152" s="11">
        <f t="shared" si="91"/>
        <v>6.6283749158891903E-2</v>
      </c>
      <c r="O152" s="15">
        <f t="shared" si="102"/>
        <v>0.87116695459584204</v>
      </c>
      <c r="P152" s="15">
        <f t="shared" si="103"/>
        <v>49.914189749606763</v>
      </c>
      <c r="Q152" s="15">
        <v>-6.0359012715033602</v>
      </c>
      <c r="R152" s="15">
        <f t="shared" si="104"/>
        <v>-0.10534635051304582</v>
      </c>
      <c r="S152" s="16">
        <f t="shared" si="92"/>
        <v>3.3353195228711385E-3</v>
      </c>
      <c r="U152" s="23">
        <f t="shared" si="121"/>
        <v>0.86416796333835022</v>
      </c>
      <c r="V152" s="23">
        <f t="shared" si="105"/>
        <v>49.513177089703525</v>
      </c>
      <c r="W152" s="23">
        <f t="shared" si="106"/>
        <v>8.4966626588145466E-3</v>
      </c>
      <c r="X152" s="23">
        <f t="shared" si="122"/>
        <v>4.3905268030527023E-2</v>
      </c>
      <c r="Y152" s="23">
        <f t="shared" si="123"/>
        <v>-8.2338093317924077E-3</v>
      </c>
      <c r="Z152" s="26">
        <f t="shared" si="107"/>
        <v>-0.10476269233202418</v>
      </c>
      <c r="AA152" s="23">
        <f t="shared" si="108"/>
        <v>-6.002460121052537</v>
      </c>
      <c r="AB152" s="24">
        <f t="shared" si="124"/>
        <v>8.1547842587443853E-3</v>
      </c>
      <c r="AD152" s="33">
        <f t="shared" si="125"/>
        <v>0.87393488592799307</v>
      </c>
      <c r="AE152" s="33">
        <f t="shared" si="109"/>
        <v>50.072780532921044</v>
      </c>
      <c r="AF152" s="33">
        <f t="shared" si="110"/>
        <v>-1.2702599308282991E-3</v>
      </c>
      <c r="AG152" s="33">
        <f t="shared" si="126"/>
        <v>5.3983986533094983E-2</v>
      </c>
      <c r="AH152" s="33">
        <f t="shared" si="127"/>
        <v>1.2309630842421981E-3</v>
      </c>
      <c r="AI152" s="35">
        <f t="shared" si="93"/>
        <v>-0.10543360801995458</v>
      </c>
      <c r="AJ152" s="33">
        <f t="shared" si="111"/>
        <v>-6.040900758380066</v>
      </c>
      <c r="AK152" s="37">
        <f t="shared" si="128"/>
        <v>-1.2191487533852463E-3</v>
      </c>
      <c r="AM152" s="41">
        <f t="shared" si="112"/>
        <v>-0.13258850282680781</v>
      </c>
      <c r="AN152" s="41">
        <f t="shared" si="113"/>
        <v>-7.5967616239344729</v>
      </c>
      <c r="AO152" s="42">
        <f t="shared" si="114"/>
        <v>0.13258850282680781</v>
      </c>
      <c r="AP152" s="41">
        <f t="shared" si="129"/>
        <v>-0.34512965613189339</v>
      </c>
      <c r="AQ152" s="41">
        <f t="shared" si="130"/>
        <v>-0.11185935827172921</v>
      </c>
      <c r="AR152" s="43">
        <f t="shared" si="94"/>
        <v>1.214025669996349</v>
      </c>
      <c r="AS152" s="41">
        <f t="shared" si="95"/>
        <v>69.558547111332857</v>
      </c>
      <c r="AU152" s="48">
        <f t="shared" si="131"/>
        <v>0.1118386279464407</v>
      </c>
      <c r="AV152" s="48">
        <f t="shared" si="115"/>
        <v>6.4078813678649134</v>
      </c>
      <c r="AW152" s="49">
        <f t="shared" si="116"/>
        <v>1.1021870420499082</v>
      </c>
      <c r="AX152" s="48">
        <f t="shared" si="132"/>
        <v>-1.0928428395515877</v>
      </c>
      <c r="AY152" s="48">
        <f t="shared" si="133"/>
        <v>-1.1203804277978513</v>
      </c>
      <c r="AZ152" s="50">
        <f t="shared" si="117"/>
        <v>-1.3086502857651894E-2</v>
      </c>
      <c r="BA152" s="48">
        <f t="shared" si="118"/>
        <v>-0.74980138232934468</v>
      </c>
      <c r="BB152" s="52">
        <f t="shared" si="134"/>
        <v>-7.6454967613567015E-3</v>
      </c>
      <c r="BC152" s="44">
        <f t="shared" si="119"/>
        <v>0.1118386279464407</v>
      </c>
    </row>
    <row r="153" spans="4:55" x14ac:dyDescent="0.3">
      <c r="D153">
        <f t="shared" si="120"/>
        <v>1.5100000000000011</v>
      </c>
      <c r="F153" s="5">
        <f t="shared" si="96"/>
        <v>0.84243640483755966</v>
      </c>
      <c r="G153" s="6">
        <f t="shared" si="97"/>
        <v>48.268050505366574</v>
      </c>
      <c r="I153" s="9">
        <f t="shared" si="98"/>
        <v>0.84356381571619354</v>
      </c>
      <c r="J153" s="9">
        <f t="shared" si="99"/>
        <v>48.332646390489437</v>
      </c>
      <c r="K153" s="9">
        <f t="shared" si="100"/>
        <v>-6.0359012715033646</v>
      </c>
      <c r="L153" s="9">
        <f t="shared" si="101"/>
        <v>-0.1053463505130459</v>
      </c>
      <c r="M153" s="11">
        <f t="shared" si="91"/>
        <v>6.480760771408911E-2</v>
      </c>
      <c r="O153" s="15">
        <f t="shared" si="102"/>
        <v>0.87120030779107072</v>
      </c>
      <c r="P153" s="15">
        <f t="shared" si="103"/>
        <v>49.916100746926645</v>
      </c>
      <c r="Q153" s="15">
        <v>-6.0359012715033602</v>
      </c>
      <c r="R153" s="15">
        <f t="shared" si="104"/>
        <v>-0.10534635051304582</v>
      </c>
      <c r="S153" s="16">
        <f t="shared" si="92"/>
        <v>3.2610418387957196E-3</v>
      </c>
      <c r="U153" s="23">
        <f t="shared" si="121"/>
        <v>0.86424951118093762</v>
      </c>
      <c r="V153" s="23">
        <f t="shared" si="105"/>
        <v>49.517849436912179</v>
      </c>
      <c r="W153" s="23">
        <f t="shared" si="106"/>
        <v>8.4151148162271427E-3</v>
      </c>
      <c r="X153" s="23">
        <f t="shared" si="122"/>
        <v>4.3989419178689294E-2</v>
      </c>
      <c r="Y153" s="23">
        <f t="shared" si="123"/>
        <v>-8.1547842587403885E-3</v>
      </c>
      <c r="Z153" s="26">
        <f t="shared" si="107"/>
        <v>-0.10476829406853917</v>
      </c>
      <c r="AA153" s="23">
        <f t="shared" si="108"/>
        <v>-6.0027810769127914</v>
      </c>
      <c r="AB153" s="24">
        <f t="shared" si="124"/>
        <v>8.0765176392778582E-3</v>
      </c>
      <c r="AD153" s="33">
        <f t="shared" si="125"/>
        <v>0.87392269444045922</v>
      </c>
      <c r="AE153" s="33">
        <f t="shared" si="109"/>
        <v>50.072082012139369</v>
      </c>
      <c r="AF153" s="33">
        <f t="shared" si="110"/>
        <v>-1.2580684432944578E-3</v>
      </c>
      <c r="AG153" s="33">
        <f t="shared" si="126"/>
        <v>5.3971405848662037E-2</v>
      </c>
      <c r="AH153" s="33">
        <f t="shared" si="127"/>
        <v>1.2191487533841361E-3</v>
      </c>
      <c r="AI153" s="35">
        <f t="shared" si="93"/>
        <v>-0.10543277055450208</v>
      </c>
      <c r="AJ153" s="33">
        <f t="shared" si="111"/>
        <v>-6.040852775144149</v>
      </c>
      <c r="AK153" s="37">
        <f t="shared" si="128"/>
        <v>-1.2074478121313348E-3</v>
      </c>
      <c r="AM153" s="41">
        <f t="shared" si="112"/>
        <v>-0.13147011654734342</v>
      </c>
      <c r="AN153" s="41">
        <f t="shared" si="113"/>
        <v>-7.5326828102558245</v>
      </c>
      <c r="AO153" s="42">
        <f t="shared" si="114"/>
        <v>0.13147011654734342</v>
      </c>
      <c r="AP153" s="41">
        <f t="shared" si="129"/>
        <v>-0.34381495496641995</v>
      </c>
      <c r="AQ153" s="41">
        <f t="shared" si="130"/>
        <v>-0.11183862794643951</v>
      </c>
      <c r="AR153" s="43">
        <f t="shared" si="94"/>
        <v>1.2028625375269946</v>
      </c>
      <c r="AS153" s="41">
        <f t="shared" si="95"/>
        <v>68.918946734693392</v>
      </c>
      <c r="AU153" s="48">
        <f t="shared" si="131"/>
        <v>0.11176217297882714</v>
      </c>
      <c r="AV153" s="48">
        <f t="shared" si="115"/>
        <v>6.4035008208978468</v>
      </c>
      <c r="AW153" s="49">
        <f t="shared" si="116"/>
        <v>1.0911003645481674</v>
      </c>
      <c r="AX153" s="48">
        <f t="shared" si="132"/>
        <v>-1.0819318359061061</v>
      </c>
      <c r="AY153" s="48">
        <f t="shared" si="133"/>
        <v>-1.108667750174086</v>
      </c>
      <c r="AZ153" s="50">
        <f t="shared" si="117"/>
        <v>-1.2793718533252174E-2</v>
      </c>
      <c r="BA153" s="48">
        <f t="shared" si="118"/>
        <v>-0.73302607623365157</v>
      </c>
      <c r="BB153" s="52">
        <f t="shared" si="134"/>
        <v>-1.2876510221345089E-2</v>
      </c>
      <c r="BC153" s="44">
        <f t="shared" si="119"/>
        <v>0.11176217297882714</v>
      </c>
    </row>
    <row r="154" spans="4:55" x14ac:dyDescent="0.3">
      <c r="D154">
        <f t="shared" si="120"/>
        <v>1.5200000000000011</v>
      </c>
      <c r="F154" s="5">
        <f t="shared" si="96"/>
        <v>0.8431021478204116</v>
      </c>
      <c r="G154" s="6">
        <f t="shared" si="97"/>
        <v>48.306194768524442</v>
      </c>
      <c r="I154" s="9">
        <f t="shared" si="98"/>
        <v>0.84421189179333445</v>
      </c>
      <c r="J154" s="9">
        <f t="shared" si="99"/>
        <v>48.369778414513</v>
      </c>
      <c r="K154" s="9">
        <f t="shared" si="100"/>
        <v>-6.0359012715033646</v>
      </c>
      <c r="L154" s="9">
        <f t="shared" si="101"/>
        <v>-0.1053463505130459</v>
      </c>
      <c r="M154" s="11">
        <f t="shared" si="91"/>
        <v>6.3364339991619723E-2</v>
      </c>
      <c r="O154" s="15">
        <f t="shared" si="102"/>
        <v>0.8712329182094587</v>
      </c>
      <c r="P154" s="15">
        <f t="shared" si="103"/>
        <v>49.917969186268429</v>
      </c>
      <c r="Q154" s="15">
        <v>-6.0359012715033602</v>
      </c>
      <c r="R154" s="15">
        <f t="shared" si="104"/>
        <v>-0.10534635051304582</v>
      </c>
      <c r="S154" s="16">
        <f t="shared" si="92"/>
        <v>3.1884183213790607E-3</v>
      </c>
      <c r="U154" s="23">
        <f t="shared" si="121"/>
        <v>0.8643302763573304</v>
      </c>
      <c r="V154" s="23">
        <f t="shared" si="105"/>
        <v>49.52247694065111</v>
      </c>
      <c r="W154" s="23">
        <f t="shared" si="106"/>
        <v>8.3343496398343708E-3</v>
      </c>
      <c r="X154" s="23">
        <f t="shared" si="122"/>
        <v>4.407276267508764E-2</v>
      </c>
      <c r="Y154" s="23">
        <f t="shared" si="123"/>
        <v>-8.076517639277192E-3</v>
      </c>
      <c r="Z154" s="26">
        <f t="shared" si="107"/>
        <v>-0.10477384204164764</v>
      </c>
      <c r="AA154" s="23">
        <f t="shared" si="108"/>
        <v>-6.0030989523567584</v>
      </c>
      <c r="AB154" s="24">
        <f t="shared" si="124"/>
        <v>7.9990021940308242E-3</v>
      </c>
      <c r="AD154" s="33">
        <f t="shared" si="125"/>
        <v>0.87391061996233788</v>
      </c>
      <c r="AE154" s="33">
        <f t="shared" si="109"/>
        <v>50.071390195503191</v>
      </c>
      <c r="AF154" s="33">
        <f t="shared" si="110"/>
        <v>-1.2459939651731089E-3</v>
      </c>
      <c r="AG154" s="33">
        <f t="shared" si="126"/>
        <v>5.3958945909010306E-2</v>
      </c>
      <c r="AH154" s="33">
        <f t="shared" si="127"/>
        <v>1.2074478121348875E-3</v>
      </c>
      <c r="AI154" s="35">
        <f t="shared" si="93"/>
        <v>-0.10543194112673507</v>
      </c>
      <c r="AJ154" s="33">
        <f t="shared" si="111"/>
        <v>-6.0408052524336888</v>
      </c>
      <c r="AK154" s="37">
        <f t="shared" si="128"/>
        <v>-1.1958591722045497E-3</v>
      </c>
      <c r="AM154" s="41">
        <f t="shared" si="112"/>
        <v>-0.13035249481755515</v>
      </c>
      <c r="AN154" s="41">
        <f t="shared" si="113"/>
        <v>-7.4686478020468456</v>
      </c>
      <c r="AO154" s="42">
        <f t="shared" si="114"/>
        <v>0.13035249481755515</v>
      </c>
      <c r="AP154" s="41">
        <f t="shared" si="129"/>
        <v>-0.34251143001824441</v>
      </c>
      <c r="AQ154" s="41">
        <f t="shared" si="130"/>
        <v>-0.11176217297882707</v>
      </c>
      <c r="AR154" s="43">
        <f t="shared" si="94"/>
        <v>1.1917627751967244</v>
      </c>
      <c r="AS154" s="41">
        <f t="shared" si="95"/>
        <v>68.28297719957061</v>
      </c>
      <c r="AU154" s="48">
        <f t="shared" si="131"/>
        <v>0.11163340787661369</v>
      </c>
      <c r="AV154" s="48">
        <f t="shared" si="115"/>
        <v>6.396123123992445</v>
      </c>
      <c r="AW154" s="49">
        <f t="shared" si="116"/>
        <v>1.0801293673201107</v>
      </c>
      <c r="AX154" s="48">
        <f t="shared" si="132"/>
        <v>-1.0711305422329049</v>
      </c>
      <c r="AY154" s="48">
        <f t="shared" si="133"/>
        <v>-1.0970997228056723</v>
      </c>
      <c r="AZ154" s="50">
        <f t="shared" si="117"/>
        <v>-1.25121515603831E-2</v>
      </c>
      <c r="BA154" s="48">
        <f t="shared" si="118"/>
        <v>-0.71689347703797901</v>
      </c>
      <c r="BB154" s="52">
        <f t="shared" si="134"/>
        <v>-1.7784091365317722E-2</v>
      </c>
      <c r="BC154" s="44">
        <f t="shared" si="119"/>
        <v>0.11163340787661369</v>
      </c>
    </row>
    <row r="155" spans="4:55" x14ac:dyDescent="0.3">
      <c r="D155">
        <f t="shared" si="120"/>
        <v>1.5300000000000011</v>
      </c>
      <c r="F155" s="5">
        <f t="shared" si="96"/>
        <v>0.84375322855380874</v>
      </c>
      <c r="G155" s="6">
        <f t="shared" si="97"/>
        <v>48.34349894667038</v>
      </c>
      <c r="I155" s="9">
        <f t="shared" si="98"/>
        <v>0.84484553519325067</v>
      </c>
      <c r="J155" s="9">
        <f t="shared" si="99"/>
        <v>48.406083507044521</v>
      </c>
      <c r="K155" s="9">
        <f t="shared" si="100"/>
        <v>-6.0359012715033646</v>
      </c>
      <c r="L155" s="9">
        <f t="shared" si="101"/>
        <v>-0.1053463505130459</v>
      </c>
      <c r="M155" s="11">
        <f t="shared" si="91"/>
        <v>6.1953213892521175E-2</v>
      </c>
      <c r="O155" s="15">
        <f t="shared" si="102"/>
        <v>0.87126480239267245</v>
      </c>
      <c r="P155" s="15">
        <f t="shared" si="103"/>
        <v>49.919796015399804</v>
      </c>
      <c r="Q155" s="15">
        <v>-6.0359012715033602</v>
      </c>
      <c r="R155" s="15">
        <f t="shared" si="104"/>
        <v>-0.10534635051304582</v>
      </c>
      <c r="S155" s="16">
        <f t="shared" si="92"/>
        <v>3.1174121322710135E-3</v>
      </c>
      <c r="U155" s="23">
        <f t="shared" si="121"/>
        <v>0.86441026637927065</v>
      </c>
      <c r="V155" s="23">
        <f t="shared" si="105"/>
        <v>49.52706003131145</v>
      </c>
      <c r="W155" s="23">
        <f t="shared" si="106"/>
        <v>8.2543596178941137E-3</v>
      </c>
      <c r="X155" s="23">
        <f t="shared" si="122"/>
        <v>4.4155306271266584E-2</v>
      </c>
      <c r="Y155" s="23">
        <f t="shared" si="123"/>
        <v>-7.9990021940257172E-3</v>
      </c>
      <c r="Z155" s="26">
        <f t="shared" si="107"/>
        <v>-0.10477933676735127</v>
      </c>
      <c r="AA155" s="23">
        <f t="shared" si="108"/>
        <v>-6.0034137769491585</v>
      </c>
      <c r="AB155" s="24">
        <f t="shared" si="124"/>
        <v>7.9222307135149439E-3</v>
      </c>
      <c r="AD155" s="33">
        <f t="shared" si="125"/>
        <v>0.87389866137061578</v>
      </c>
      <c r="AE155" s="33">
        <f t="shared" si="109"/>
        <v>50.070705018668598</v>
      </c>
      <c r="AF155" s="33">
        <f t="shared" si="110"/>
        <v>-1.2340353734510146E-3</v>
      </c>
      <c r="AG155" s="33">
        <f t="shared" si="126"/>
        <v>5.3946605555275792E-2</v>
      </c>
      <c r="AH155" s="33">
        <f t="shared" si="127"/>
        <v>1.1958591722094347E-3</v>
      </c>
      <c r="AI155" s="35">
        <f t="shared" si="93"/>
        <v>-0.1054311196595106</v>
      </c>
      <c r="AJ155" s="33">
        <f t="shared" si="111"/>
        <v>-6.0407581858287189</v>
      </c>
      <c r="AK155" s="37">
        <f t="shared" si="128"/>
        <v>-1.184381755781283E-3</v>
      </c>
      <c r="AM155" s="41">
        <f t="shared" si="112"/>
        <v>-0.12923616073878902</v>
      </c>
      <c r="AN155" s="41">
        <f t="shared" si="113"/>
        <v>-7.4046865708069216</v>
      </c>
      <c r="AO155" s="42">
        <f t="shared" si="114"/>
        <v>0.12923616073878902</v>
      </c>
      <c r="AP155" s="41">
        <f t="shared" si="129"/>
        <v>-0.34121906841085653</v>
      </c>
      <c r="AQ155" s="41">
        <f t="shared" si="130"/>
        <v>-0.11163340787661291</v>
      </c>
      <c r="AR155" s="43">
        <f t="shared" si="94"/>
        <v>1.1807281995112775</v>
      </c>
      <c r="AS155" s="41">
        <f t="shared" si="95"/>
        <v>67.650742584076838</v>
      </c>
      <c r="AU155" s="48">
        <f t="shared" si="131"/>
        <v>0.11145556696296051</v>
      </c>
      <c r="AV155" s="48">
        <f t="shared" si="115"/>
        <v>6.3859335902153678</v>
      </c>
      <c r="AW155" s="49">
        <f t="shared" si="116"/>
        <v>1.0692726325483171</v>
      </c>
      <c r="AX155" s="48">
        <f t="shared" si="132"/>
        <v>-1.0604378159074217</v>
      </c>
      <c r="AY155" s="48">
        <f t="shared" si="133"/>
        <v>-1.0856734771793608</v>
      </c>
      <c r="AZ155" s="50">
        <f t="shared" si="117"/>
        <v>-1.2241265895893916E-2</v>
      </c>
      <c r="BA155" s="48">
        <f t="shared" si="118"/>
        <v>-0.7013728717321519</v>
      </c>
      <c r="BB155" s="52">
        <f t="shared" si="134"/>
        <v>-2.2385331954985266E-2</v>
      </c>
      <c r="BC155" s="44">
        <f t="shared" si="119"/>
        <v>0.11145556696296051</v>
      </c>
    </row>
    <row r="156" spans="4:55" x14ac:dyDescent="0.3">
      <c r="D156">
        <f t="shared" si="120"/>
        <v>1.5400000000000011</v>
      </c>
      <c r="F156" s="5">
        <f t="shared" si="96"/>
        <v>0.84438996995750326</v>
      </c>
      <c r="G156" s="6">
        <f t="shared" si="97"/>
        <v>48.379981541743312</v>
      </c>
      <c r="I156" s="9">
        <f t="shared" si="98"/>
        <v>0.84546506733217586</v>
      </c>
      <c r="J156" s="9">
        <f t="shared" si="99"/>
        <v>48.441580083877646</v>
      </c>
      <c r="K156" s="9">
        <f t="shared" si="100"/>
        <v>-6.0359012715033646</v>
      </c>
      <c r="L156" s="9">
        <f t="shared" si="101"/>
        <v>-0.1053463505130459</v>
      </c>
      <c r="M156" s="11">
        <f t="shared" si="91"/>
        <v>6.0573513621701158E-2</v>
      </c>
      <c r="O156" s="15">
        <f t="shared" si="102"/>
        <v>0.87129597651399515</v>
      </c>
      <c r="P156" s="15">
        <f t="shared" si="103"/>
        <v>49.921582160981622</v>
      </c>
      <c r="Q156" s="15">
        <v>-6.0359012715033602</v>
      </c>
      <c r="R156" s="15">
        <f t="shared" si="104"/>
        <v>-0.10534635051304582</v>
      </c>
      <c r="S156" s="16">
        <f t="shared" si="92"/>
        <v>3.0479872535131847E-3</v>
      </c>
      <c r="U156" s="23">
        <f t="shared" si="121"/>
        <v>0.86448948868640585</v>
      </c>
      <c r="V156" s="23">
        <f t="shared" si="105"/>
        <v>49.531599135153584</v>
      </c>
      <c r="W156" s="23">
        <f t="shared" si="106"/>
        <v>8.1751373107589176E-3</v>
      </c>
      <c r="X156" s="23">
        <f t="shared" si="122"/>
        <v>4.4237057644374175E-2</v>
      </c>
      <c r="Y156" s="23">
        <f t="shared" si="123"/>
        <v>-7.9222307135196068E-3</v>
      </c>
      <c r="Z156" s="26">
        <f t="shared" si="107"/>
        <v>-0.10478477875669859</v>
      </c>
      <c r="AA156" s="23">
        <f t="shared" si="108"/>
        <v>-6.003725579970915</v>
      </c>
      <c r="AB156" s="24">
        <f t="shared" si="124"/>
        <v>7.8461960574223166E-3</v>
      </c>
      <c r="AD156" s="33">
        <f t="shared" si="125"/>
        <v>0.87388681755305797</v>
      </c>
      <c r="AE156" s="33">
        <f t="shared" si="109"/>
        <v>50.070026417909212</v>
      </c>
      <c r="AF156" s="33">
        <f t="shared" si="110"/>
        <v>-1.2221915558932039E-3</v>
      </c>
      <c r="AG156" s="33">
        <f t="shared" si="126"/>
        <v>5.3934383639716858E-2</v>
      </c>
      <c r="AH156" s="33">
        <f t="shared" si="127"/>
        <v>1.184381755781061E-3</v>
      </c>
      <c r="AI156" s="35">
        <f t="shared" si="93"/>
        <v>-0.10543030607642621</v>
      </c>
      <c r="AJ156" s="33">
        <f t="shared" si="111"/>
        <v>-6.0407115709517001</v>
      </c>
      <c r="AK156" s="37">
        <f t="shared" si="128"/>
        <v>-1.1730144953820965E-3</v>
      </c>
      <c r="AM156" s="41">
        <f t="shared" si="112"/>
        <v>-0.1281216050691594</v>
      </c>
      <c r="AN156" s="41">
        <f t="shared" si="113"/>
        <v>-7.3408272349047676</v>
      </c>
      <c r="AO156" s="42">
        <f t="shared" si="114"/>
        <v>0.1281216050691594</v>
      </c>
      <c r="AP156" s="41">
        <f t="shared" si="129"/>
        <v>-0.33993785236016494</v>
      </c>
      <c r="AQ156" s="41">
        <f t="shared" si="130"/>
        <v>-0.11145556696296188</v>
      </c>
      <c r="AR156" s="43">
        <f t="shared" si="94"/>
        <v>1.169760483728632</v>
      </c>
      <c r="AS156" s="41">
        <f t="shared" si="95"/>
        <v>67.02233875883222</v>
      </c>
      <c r="AU156" s="48">
        <f t="shared" si="131"/>
        <v>0.11123171364341065</v>
      </c>
      <c r="AV156" s="48">
        <f t="shared" si="115"/>
        <v>6.3731077397751674</v>
      </c>
      <c r="AW156" s="49">
        <f t="shared" si="116"/>
        <v>1.0585287700852213</v>
      </c>
      <c r="AX156" s="48">
        <f t="shared" si="132"/>
        <v>-1.0498525282065694</v>
      </c>
      <c r="AY156" s="48">
        <f t="shared" si="133"/>
        <v>-1.0743862463095777</v>
      </c>
      <c r="AZ156" s="50">
        <f t="shared" si="117"/>
        <v>-1.1980552525755916E-2</v>
      </c>
      <c r="BA156" s="48">
        <f t="shared" si="118"/>
        <v>-0.68643509596061247</v>
      </c>
      <c r="BB156" s="52">
        <f t="shared" si="134"/>
        <v>-2.6696444485254489E-2</v>
      </c>
      <c r="BC156" s="44">
        <f t="shared" si="119"/>
        <v>0.11123171364341065</v>
      </c>
    </row>
    <row r="157" spans="4:55" x14ac:dyDescent="0.3">
      <c r="D157">
        <f t="shared" si="120"/>
        <v>1.5500000000000012</v>
      </c>
      <c r="F157" s="5">
        <f t="shared" si="96"/>
        <v>0.84501268783929884</v>
      </c>
      <c r="G157" s="6">
        <f t="shared" si="97"/>
        <v>48.415660648197523</v>
      </c>
      <c r="I157" s="9">
        <f t="shared" si="98"/>
        <v>0.84607080246839284</v>
      </c>
      <c r="J157" s="9">
        <f t="shared" si="99"/>
        <v>48.476286150685659</v>
      </c>
      <c r="K157" s="9">
        <f t="shared" si="100"/>
        <v>-6.0359012715033646</v>
      </c>
      <c r="L157" s="9">
        <f t="shared" si="101"/>
        <v>-0.1053463505130459</v>
      </c>
      <c r="M157" s="11">
        <f t="shared" si="91"/>
        <v>5.9224539324849168E-2</v>
      </c>
      <c r="O157" s="15">
        <f t="shared" si="102"/>
        <v>0.87132645638653028</v>
      </c>
      <c r="P157" s="15">
        <f t="shared" si="103"/>
        <v>49.923328529037981</v>
      </c>
      <c r="Q157" s="15">
        <v>-6.0359012715033602</v>
      </c>
      <c r="R157" s="15">
        <f t="shared" si="104"/>
        <v>-0.10534635051304582</v>
      </c>
      <c r="S157" s="16">
        <f t="shared" si="92"/>
        <v>2.9801084692677726E-3</v>
      </c>
      <c r="U157" s="23">
        <f t="shared" si="121"/>
        <v>0.86456795064698011</v>
      </c>
      <c r="V157" s="23">
        <f t="shared" si="105"/>
        <v>49.536094674346813</v>
      </c>
      <c r="W157" s="23">
        <f t="shared" si="106"/>
        <v>8.0966753501846567E-3</v>
      </c>
      <c r="X157" s="23">
        <f t="shared" si="122"/>
        <v>4.4318024397876021E-2</v>
      </c>
      <c r="Y157" s="23">
        <f t="shared" si="123"/>
        <v>-7.8461960574260914E-3</v>
      </c>
      <c r="Z157" s="26">
        <f t="shared" si="107"/>
        <v>-0.10479016851583423</v>
      </c>
      <c r="AA157" s="23">
        <f t="shared" si="108"/>
        <v>-6.0040343904219791</v>
      </c>
      <c r="AB157" s="24">
        <f t="shared" si="124"/>
        <v>7.7708911539910996E-3</v>
      </c>
      <c r="AD157" s="33">
        <f t="shared" si="125"/>
        <v>0.87387508740810416</v>
      </c>
      <c r="AE157" s="33">
        <f t="shared" si="109"/>
        <v>50.069354330110279</v>
      </c>
      <c r="AF157" s="33">
        <f t="shared" si="110"/>
        <v>-1.2104614109393896E-3</v>
      </c>
      <c r="AG157" s="33">
        <f t="shared" si="126"/>
        <v>5.3922279025607464E-2</v>
      </c>
      <c r="AH157" s="33">
        <f t="shared" si="127"/>
        <v>1.1730144953814303E-3</v>
      </c>
      <c r="AI157" s="35">
        <f t="shared" si="93"/>
        <v>-0.10542950030181306</v>
      </c>
      <c r="AJ157" s="33">
        <f t="shared" si="111"/>
        <v>-6.040665403467127</v>
      </c>
      <c r="AK157" s="37">
        <f t="shared" si="128"/>
        <v>-1.1617563337649184E-3</v>
      </c>
      <c r="AM157" s="41">
        <f t="shared" si="112"/>
        <v>-0.12700928793272528</v>
      </c>
      <c r="AN157" s="41">
        <f t="shared" si="113"/>
        <v>-7.2770961575070157</v>
      </c>
      <c r="AO157" s="42">
        <f t="shared" si="114"/>
        <v>0.12700928793272528</v>
      </c>
      <c r="AP157" s="41">
        <f t="shared" si="129"/>
        <v>-0.33866775948083766</v>
      </c>
      <c r="AQ157" s="41">
        <f t="shared" si="130"/>
        <v>-0.11123171364341156</v>
      </c>
      <c r="AR157" s="43">
        <f t="shared" si="94"/>
        <v>1.1588611656838412</v>
      </c>
      <c r="AS157" s="41">
        <f t="shared" si="95"/>
        <v>66.397853835294924</v>
      </c>
      <c r="AU157" s="48">
        <f t="shared" si="131"/>
        <v>0.11096474919855812</v>
      </c>
      <c r="AV157" s="48">
        <f t="shared" si="115"/>
        <v>6.3578118038050642</v>
      </c>
      <c r="AW157" s="49">
        <f t="shared" si="116"/>
        <v>1.0478964164852831</v>
      </c>
      <c r="AX157" s="48">
        <f t="shared" si="132"/>
        <v>-1.0393735640417165</v>
      </c>
      <c r="AY157" s="48">
        <f t="shared" si="133"/>
        <v>-1.0632353599938194</v>
      </c>
      <c r="AZ157" s="50">
        <f t="shared" si="117"/>
        <v>-1.1729528087163987E-2</v>
      </c>
      <c r="BA157" s="48">
        <f t="shared" si="118"/>
        <v>-0.67205245507465405</v>
      </c>
      <c r="BB157" s="52">
        <f t="shared" si="134"/>
        <v>-3.0732807184972233E-2</v>
      </c>
      <c r="BC157" s="44">
        <f t="shared" si="119"/>
        <v>0.11096474919855812</v>
      </c>
    </row>
    <row r="158" spans="4:55" x14ac:dyDescent="0.3">
      <c r="D158">
        <f t="shared" si="120"/>
        <v>1.5600000000000012</v>
      </c>
      <c r="F158" s="5">
        <f t="shared" si="96"/>
        <v>0.84562169105168283</v>
      </c>
      <c r="G158" s="6">
        <f t="shared" si="97"/>
        <v>48.450553961977036</v>
      </c>
      <c r="I158" s="9">
        <f t="shared" si="98"/>
        <v>0.84666304786164137</v>
      </c>
      <c r="J158" s="9">
        <f t="shared" si="99"/>
        <v>48.510219312154867</v>
      </c>
      <c r="K158" s="9">
        <f t="shared" si="100"/>
        <v>-6.0359012715033646</v>
      </c>
      <c r="L158" s="9">
        <f t="shared" si="101"/>
        <v>-0.1053463505130459</v>
      </c>
      <c r="M158" s="11">
        <f t="shared" si="91"/>
        <v>5.7905606733435366E-2</v>
      </c>
      <c r="O158" s="15">
        <f t="shared" si="102"/>
        <v>0.87135625747122292</v>
      </c>
      <c r="P158" s="15">
        <f t="shared" si="103"/>
        <v>49.925036005415777</v>
      </c>
      <c r="Q158" s="15">
        <v>-6.0359012715033602</v>
      </c>
      <c r="R158" s="15">
        <f t="shared" si="104"/>
        <v>-0.10534635051304582</v>
      </c>
      <c r="S158" s="16">
        <f t="shared" si="92"/>
        <v>2.9137413479549679E-3</v>
      </c>
      <c r="U158" s="23">
        <f t="shared" si="121"/>
        <v>0.86464565955852002</v>
      </c>
      <c r="V158" s="23">
        <f t="shared" si="105"/>
        <v>49.540547067008603</v>
      </c>
      <c r="W158" s="23">
        <f t="shared" si="106"/>
        <v>8.0189664386447479E-3</v>
      </c>
      <c r="X158" s="23">
        <f t="shared" si="122"/>
        <v>4.4398214062262471E-2</v>
      </c>
      <c r="Y158" s="23">
        <f t="shared" si="123"/>
        <v>-7.7708911539908776E-3</v>
      </c>
      <c r="Z158" s="26">
        <f t="shared" si="107"/>
        <v>-0.10479550654604448</v>
      </c>
      <c r="AA158" s="23">
        <f t="shared" si="108"/>
        <v>-6.00434023702394</v>
      </c>
      <c r="AB158" s="24">
        <f t="shared" si="124"/>
        <v>7.6963089993233869E-3</v>
      </c>
      <c r="AD158" s="33">
        <f t="shared" si="125"/>
        <v>0.87386346984476648</v>
      </c>
      <c r="AE158" s="33">
        <f t="shared" si="109"/>
        <v>50.068688692762805</v>
      </c>
      <c r="AF158" s="33">
        <f t="shared" si="110"/>
        <v>-1.198843847601716E-3</v>
      </c>
      <c r="AG158" s="33">
        <f t="shared" si="126"/>
        <v>5.3910290587131447E-2</v>
      </c>
      <c r="AH158" s="33">
        <f t="shared" si="127"/>
        <v>1.1617563337673609E-3</v>
      </c>
      <c r="AI158" s="35">
        <f t="shared" si="93"/>
        <v>-0.1054287022607283</v>
      </c>
      <c r="AJ158" s="33">
        <f t="shared" si="111"/>
        <v>-6.0406196790810922</v>
      </c>
      <c r="AK158" s="37">
        <f t="shared" si="128"/>
        <v>-1.1506062238397785E-3</v>
      </c>
      <c r="AM158" s="41">
        <f t="shared" si="112"/>
        <v>-0.1258996404407397</v>
      </c>
      <c r="AN158" s="41">
        <f t="shared" si="113"/>
        <v>-7.2135180394689646</v>
      </c>
      <c r="AO158" s="42">
        <f t="shared" si="114"/>
        <v>0.1258996404407397</v>
      </c>
      <c r="AP158" s="41">
        <f t="shared" si="129"/>
        <v>-0.33740876307643025</v>
      </c>
      <c r="AQ158" s="41">
        <f t="shared" si="130"/>
        <v>-0.11096474919855825</v>
      </c>
      <c r="AR158" s="43">
        <f t="shared" si="94"/>
        <v>1.1480316552088388</v>
      </c>
      <c r="AS158" s="41">
        <f t="shared" si="95"/>
        <v>65.777368590884578</v>
      </c>
      <c r="AU158" s="48">
        <f t="shared" si="131"/>
        <v>0.1106574211267084</v>
      </c>
      <c r="AV158" s="48">
        <f t="shared" si="115"/>
        <v>6.3402032023621819</v>
      </c>
      <c r="AW158" s="49">
        <f t="shared" si="116"/>
        <v>1.0373742340821304</v>
      </c>
      <c r="AX158" s="48">
        <f t="shared" si="132"/>
        <v>-1.0289998217008953</v>
      </c>
      <c r="AY158" s="48">
        <f t="shared" si="133"/>
        <v>-1.0522182403152724</v>
      </c>
      <c r="AZ158" s="50">
        <f t="shared" si="117"/>
        <v>-1.148773356089372E-2</v>
      </c>
      <c r="BA158" s="48">
        <f t="shared" si="118"/>
        <v>-0.65819864921000271</v>
      </c>
      <c r="BB158" s="52">
        <f t="shared" si="134"/>
        <v>-3.4509006719428109E-2</v>
      </c>
      <c r="BC158" s="44">
        <f t="shared" si="119"/>
        <v>0.1106574211267084</v>
      </c>
    </row>
    <row r="159" spans="4:55" x14ac:dyDescent="0.3">
      <c r="D159">
        <f t="shared" si="120"/>
        <v>1.5700000000000012</v>
      </c>
      <c r="F159" s="5">
        <f t="shared" si="96"/>
        <v>0.84621728164501009</v>
      </c>
      <c r="G159" s="6">
        <f t="shared" si="97"/>
        <v>48.484678789292381</v>
      </c>
      <c r="I159" s="9">
        <f t="shared" si="98"/>
        <v>0.8472421039289757</v>
      </c>
      <c r="J159" s="9">
        <f t="shared" si="99"/>
        <v>48.54339678091457</v>
      </c>
      <c r="K159" s="9">
        <f t="shared" si="100"/>
        <v>-6.0359012715033646</v>
      </c>
      <c r="L159" s="9">
        <f t="shared" si="101"/>
        <v>-0.1053463505130459</v>
      </c>
      <c r="M159" s="11">
        <f t="shared" si="91"/>
        <v>5.6616046817613785E-2</v>
      </c>
      <c r="O159" s="15">
        <f t="shared" si="102"/>
        <v>0.87138539488470246</v>
      </c>
      <c r="P159" s="15">
        <f t="shared" si="103"/>
        <v>49.926705456234082</v>
      </c>
      <c r="Q159" s="15">
        <v>-6.0359012715033602</v>
      </c>
      <c r="R159" s="15">
        <f t="shared" si="104"/>
        <v>-0.10534635051304582</v>
      </c>
      <c r="S159" s="16">
        <f t="shared" si="92"/>
        <v>2.8488522247875903E-3</v>
      </c>
      <c r="U159" s="23">
        <f t="shared" si="121"/>
        <v>0.86472262264851329</v>
      </c>
      <c r="V159" s="23">
        <f t="shared" si="105"/>
        <v>49.544956727243502</v>
      </c>
      <c r="W159" s="23">
        <f t="shared" si="106"/>
        <v>7.9420033486514718E-3</v>
      </c>
      <c r="X159" s="23">
        <f t="shared" si="122"/>
        <v>4.4477634095748987E-2</v>
      </c>
      <c r="Y159" s="23">
        <f t="shared" si="123"/>
        <v>-7.6963089993276057E-3</v>
      </c>
      <c r="Z159" s="26">
        <f t="shared" si="107"/>
        <v>-0.10480079334380428</v>
      </c>
      <c r="AA159" s="23">
        <f t="shared" si="108"/>
        <v>-6.0046431482227156</v>
      </c>
      <c r="AB159" s="24">
        <f t="shared" si="124"/>
        <v>7.6224426567366166E-3</v>
      </c>
      <c r="AD159" s="33">
        <f t="shared" si="125"/>
        <v>0.87385196378252805</v>
      </c>
      <c r="AE159" s="33">
        <f t="shared" si="109"/>
        <v>50.068029443957727</v>
      </c>
      <c r="AF159" s="33">
        <f t="shared" si="110"/>
        <v>-1.1873377853632849E-3</v>
      </c>
      <c r="AG159" s="33">
        <f t="shared" si="126"/>
        <v>5.3898417209277814E-2</v>
      </c>
      <c r="AH159" s="33">
        <f t="shared" si="127"/>
        <v>1.1506062238431092E-3</v>
      </c>
      <c r="AI159" s="35">
        <f t="shared" si="93"/>
        <v>-0.10542791187894827</v>
      </c>
      <c r="AJ159" s="33">
        <f t="shared" si="111"/>
        <v>-6.0405743935408927</v>
      </c>
      <c r="AK159" s="37">
        <f t="shared" si="128"/>
        <v>-1.1395631285688879E-3</v>
      </c>
      <c r="AM159" s="41">
        <f t="shared" si="112"/>
        <v>-0.12479306622947262</v>
      </c>
      <c r="AN159" s="41">
        <f t="shared" si="113"/>
        <v>-7.1501160074453427</v>
      </c>
      <c r="AO159" s="42">
        <f t="shared" si="114"/>
        <v>0.12479306622947262</v>
      </c>
      <c r="AP159" s="41">
        <f t="shared" si="129"/>
        <v>-0.33616083241413552</v>
      </c>
      <c r="AQ159" s="41">
        <f t="shared" si="130"/>
        <v>-0.11065742112670862</v>
      </c>
      <c r="AR159" s="43">
        <f t="shared" si="94"/>
        <v>1.1372732411680175</v>
      </c>
      <c r="AS159" s="41">
        <f t="shared" si="95"/>
        <v>65.160956872091234</v>
      </c>
      <c r="AU159" s="48">
        <f t="shared" si="131"/>
        <v>0.11031233105951412</v>
      </c>
      <c r="AV159" s="48">
        <f t="shared" si="115"/>
        <v>6.3204309979600639</v>
      </c>
      <c r="AW159" s="49">
        <f t="shared" si="116"/>
        <v>1.0269609101085033</v>
      </c>
      <c r="AX159" s="48">
        <f t="shared" si="132"/>
        <v>-1.0187302125998103</v>
      </c>
      <c r="AY159" s="48">
        <f t="shared" si="133"/>
        <v>-1.0413323973627042</v>
      </c>
      <c r="AZ159" s="50">
        <f t="shared" si="117"/>
        <v>-1.125473303057245E-2</v>
      </c>
      <c r="BA159" s="48">
        <f t="shared" si="118"/>
        <v>-0.64484870219828394</v>
      </c>
      <c r="BB159" s="52">
        <f t="shared" si="134"/>
        <v>-3.8038878707444324E-2</v>
      </c>
      <c r="BC159" s="44">
        <f t="shared" si="119"/>
        <v>0.11031233105951412</v>
      </c>
    </row>
    <row r="160" spans="4:55" x14ac:dyDescent="0.3">
      <c r="D160">
        <f t="shared" si="120"/>
        <v>1.5800000000000012</v>
      </c>
      <c r="F160" s="5">
        <f t="shared" si="96"/>
        <v>0.84679975501731175</v>
      </c>
      <c r="G160" s="6">
        <f t="shared" si="97"/>
        <v>48.518052055204024</v>
      </c>
      <c r="I160" s="9">
        <f t="shared" si="98"/>
        <v>0.84780826439715185</v>
      </c>
      <c r="J160" s="9">
        <f t="shared" si="99"/>
        <v>48.575835386268217</v>
      </c>
      <c r="K160" s="9">
        <f t="shared" si="100"/>
        <v>-6.0359012715033646</v>
      </c>
      <c r="L160" s="9">
        <f t="shared" si="101"/>
        <v>-0.1053463505130459</v>
      </c>
      <c r="M160" s="11">
        <f t="shared" si="91"/>
        <v>5.5355205446857569E-2</v>
      </c>
      <c r="O160" s="15">
        <f t="shared" si="102"/>
        <v>0.87141388340695036</v>
      </c>
      <c r="P160" s="15">
        <f t="shared" si="103"/>
        <v>49.928337728323456</v>
      </c>
      <c r="Q160" s="15">
        <v>-6.0359012715033602</v>
      </c>
      <c r="R160" s="15">
        <f t="shared" si="104"/>
        <v>-0.10534635051304582</v>
      </c>
      <c r="S160" s="16">
        <f t="shared" si="92"/>
        <v>2.7854081846951928E-3</v>
      </c>
      <c r="U160" s="23">
        <f t="shared" si="121"/>
        <v>0.8647988470750807</v>
      </c>
      <c r="V160" s="23">
        <f t="shared" si="105"/>
        <v>49.549324065181622</v>
      </c>
      <c r="W160" s="23">
        <f t="shared" si="106"/>
        <v>7.8657789220840657E-3</v>
      </c>
      <c r="X160" s="23">
        <f t="shared" si="122"/>
        <v>4.4556291884969824E-2</v>
      </c>
      <c r="Y160" s="23">
        <f t="shared" si="123"/>
        <v>-7.6224426567406134E-3</v>
      </c>
      <c r="Z160" s="26">
        <f t="shared" si="107"/>
        <v>-0.10480602940082408</v>
      </c>
      <c r="AA160" s="23">
        <f t="shared" si="108"/>
        <v>-6.00494315219124</v>
      </c>
      <c r="AB160" s="24">
        <f t="shared" si="124"/>
        <v>7.5492852561351853E-3</v>
      </c>
      <c r="AD160" s="33">
        <f t="shared" si="125"/>
        <v>0.87384056815124234</v>
      </c>
      <c r="AE160" s="33">
        <f t="shared" si="109"/>
        <v>50.067376522380165</v>
      </c>
      <c r="AF160" s="33">
        <f t="shared" si="110"/>
        <v>-1.1759421540775694E-3</v>
      </c>
      <c r="AG160" s="33">
        <f t="shared" si="126"/>
        <v>5.388665778773704E-2</v>
      </c>
      <c r="AH160" s="33">
        <f t="shared" si="127"/>
        <v>1.1395631285715524E-3</v>
      </c>
      <c r="AI160" s="35">
        <f t="shared" si="93"/>
        <v>-0.1054271290829618</v>
      </c>
      <c r="AJ160" s="33">
        <f t="shared" si="111"/>
        <v>-6.0405295426346486</v>
      </c>
      <c r="AK160" s="37">
        <f t="shared" si="128"/>
        <v>-1.1286260208647203E-3</v>
      </c>
      <c r="AM160" s="41">
        <f t="shared" si="112"/>
        <v>-0.12368994291887747</v>
      </c>
      <c r="AN160" s="41">
        <f t="shared" si="113"/>
        <v>-7.0869116974657418</v>
      </c>
      <c r="AO160" s="42">
        <f t="shared" si="114"/>
        <v>0.12368994291887747</v>
      </c>
      <c r="AP160" s="41">
        <f t="shared" si="129"/>
        <v>-0.33492393298494677</v>
      </c>
      <c r="AQ160" s="41">
        <f t="shared" si="130"/>
        <v>-0.11031233105951443</v>
      </c>
      <c r="AR160" s="43">
        <f t="shared" si="94"/>
        <v>1.1265870981292603</v>
      </c>
      <c r="AS160" s="41">
        <f t="shared" si="95"/>
        <v>64.548685976697342</v>
      </c>
      <c r="AU160" s="48">
        <f t="shared" si="131"/>
        <v>0.10993194227243967</v>
      </c>
      <c r="AV160" s="48">
        <f t="shared" si="115"/>
        <v>6.2986363258865978</v>
      </c>
      <c r="AW160" s="49">
        <f t="shared" si="116"/>
        <v>1.0166551558568206</v>
      </c>
      <c r="AX160" s="48">
        <f t="shared" si="132"/>
        <v>-1.0085636610412421</v>
      </c>
      <c r="AY160" s="48">
        <f t="shared" si="133"/>
        <v>-1.0305754251682675</v>
      </c>
      <c r="AZ160" s="50">
        <f t="shared" si="117"/>
        <v>-1.1030112505315826E-2</v>
      </c>
      <c r="BA160" s="48">
        <f t="shared" si="118"/>
        <v>-0.6319788941090676</v>
      </c>
      <c r="BB160" s="52">
        <f t="shared" si="134"/>
        <v>-4.1335546167182491E-2</v>
      </c>
      <c r="BC160" s="44">
        <f t="shared" si="119"/>
        <v>0.10993194227243967</v>
      </c>
    </row>
    <row r="161" spans="4:55" x14ac:dyDescent="0.3">
      <c r="D161">
        <f t="shared" si="120"/>
        <v>1.5900000000000012</v>
      </c>
      <c r="F161" s="5">
        <f t="shared" si="96"/>
        <v>0.84736940006080563</v>
      </c>
      <c r="G161" s="6">
        <f t="shared" si="97"/>
        <v>48.550690312016769</v>
      </c>
      <c r="I161" s="9">
        <f t="shared" si="98"/>
        <v>0.84836181645162045</v>
      </c>
      <c r="J161" s="9">
        <f t="shared" si="99"/>
        <v>48.607551582730061</v>
      </c>
      <c r="K161" s="9">
        <f t="shared" si="100"/>
        <v>-6.0359012715033646</v>
      </c>
      <c r="L161" s="9">
        <f t="shared" si="101"/>
        <v>-0.1053463505130459</v>
      </c>
      <c r="M161" s="11">
        <f t="shared" si="91"/>
        <v>5.4122443058148839E-2</v>
      </c>
      <c r="O161" s="15">
        <f t="shared" si="102"/>
        <v>0.87144173748879727</v>
      </c>
      <c r="P161" s="15">
        <f t="shared" si="103"/>
        <v>49.929933649655496</v>
      </c>
      <c r="Q161" s="15">
        <v>-6.0359012715033602</v>
      </c>
      <c r="R161" s="15">
        <f t="shared" si="104"/>
        <v>-0.10534635051304582</v>
      </c>
      <c r="S161" s="16">
        <f t="shared" si="92"/>
        <v>2.7233770456254192E-3</v>
      </c>
      <c r="U161" s="23">
        <f t="shared" si="121"/>
        <v>0.86487433992764207</v>
      </c>
      <c r="V161" s="23">
        <f t="shared" si="105"/>
        <v>49.553649487016791</v>
      </c>
      <c r="W161" s="23">
        <f t="shared" si="106"/>
        <v>7.7902860695227005E-3</v>
      </c>
      <c r="X161" s="23">
        <f t="shared" si="122"/>
        <v>4.4634194745665053E-2</v>
      </c>
      <c r="Y161" s="23">
        <f t="shared" si="123"/>
        <v>-7.5492852561365176E-3</v>
      </c>
      <c r="Z161" s="26">
        <f t="shared" si="107"/>
        <v>-0.10481121520409482</v>
      </c>
      <c r="AA161" s="23">
        <f t="shared" si="108"/>
        <v>-6.0052402768320388</v>
      </c>
      <c r="AB161" s="24">
        <f t="shared" si="124"/>
        <v>7.4768299933538618E-3</v>
      </c>
      <c r="AD161" s="33">
        <f t="shared" si="125"/>
        <v>0.8738292818910337</v>
      </c>
      <c r="AE161" s="33">
        <f t="shared" si="109"/>
        <v>50.066729867303728</v>
      </c>
      <c r="AF161" s="33">
        <f t="shared" si="110"/>
        <v>-1.1646558938689378E-3</v>
      </c>
      <c r="AG161" s="33">
        <f t="shared" si="126"/>
        <v>5.3875011228798349E-2</v>
      </c>
      <c r="AH161" s="33">
        <f t="shared" si="127"/>
        <v>1.128626020863166E-3</v>
      </c>
      <c r="AI161" s="35">
        <f t="shared" si="93"/>
        <v>-0.10542635379996314</v>
      </c>
      <c r="AJ161" s="33">
        <f t="shared" si="111"/>
        <v>-6.0404851221908968</v>
      </c>
      <c r="AK161" s="37">
        <f t="shared" si="128"/>
        <v>-1.1177938834980861E-3</v>
      </c>
      <c r="AM161" s="41">
        <f t="shared" si="112"/>
        <v>-0.12259062349615307</v>
      </c>
      <c r="AN161" s="41">
        <f t="shared" si="113"/>
        <v>-7.0239253342068757</v>
      </c>
      <c r="AO161" s="42">
        <f t="shared" si="114"/>
        <v>0.12259062349615307</v>
      </c>
      <c r="AP161" s="41">
        <f t="shared" si="129"/>
        <v>-0.33369802674998522</v>
      </c>
      <c r="AQ161" s="41">
        <f t="shared" si="130"/>
        <v>-0.10993194227243985</v>
      </c>
      <c r="AR161" s="43">
        <f t="shared" si="94"/>
        <v>1.115974292689091</v>
      </c>
      <c r="AS161" s="41">
        <f t="shared" si="95"/>
        <v>63.940617016182152</v>
      </c>
      <c r="AU161" s="48">
        <f t="shared" si="131"/>
        <v>0.10951858681076784</v>
      </c>
      <c r="AV161" s="48">
        <f t="shared" si="115"/>
        <v>6.2749528024941199</v>
      </c>
      <c r="AW161" s="49">
        <f t="shared" si="116"/>
        <v>1.0064557058783232</v>
      </c>
      <c r="AX161" s="48">
        <f t="shared" si="132"/>
        <v>-0.99849910398245878</v>
      </c>
      <c r="AY161" s="48">
        <f t="shared" si="133"/>
        <v>-1.0199449978497421</v>
      </c>
      <c r="AZ161" s="50">
        <f t="shared" si="117"/>
        <v>-1.0813478802480181E-2</v>
      </c>
      <c r="BA161" s="48">
        <f t="shared" si="118"/>
        <v>-0.61956669723629387</v>
      </c>
      <c r="BB161" s="52">
        <f t="shared" si="134"/>
        <v>-4.4411455996745897E-2</v>
      </c>
      <c r="BC161" s="44">
        <f t="shared" si="119"/>
        <v>0.10951858681076784</v>
      </c>
    </row>
    <row r="162" spans="4:55" x14ac:dyDescent="0.3">
      <c r="D162">
        <f t="shared" si="120"/>
        <v>1.6000000000000012</v>
      </c>
      <c r="F162" s="5">
        <f t="shared" si="96"/>
        <v>0.8479264993051796</v>
      </c>
      <c r="G162" s="6">
        <f t="shared" si="97"/>
        <v>48.582609747489322</v>
      </c>
      <c r="I162" s="9">
        <f t="shared" si="98"/>
        <v>0.84890304088220192</v>
      </c>
      <c r="J162" s="9">
        <f t="shared" si="99"/>
        <v>48.638561458371747</v>
      </c>
      <c r="K162" s="9">
        <f t="shared" si="100"/>
        <v>-6.0359012715033646</v>
      </c>
      <c r="L162" s="9">
        <f t="shared" si="101"/>
        <v>-0.1053463505130459</v>
      </c>
      <c r="M162" s="11">
        <f t="shared" si="91"/>
        <v>5.2917134331561755E-2</v>
      </c>
      <c r="O162" s="15">
        <f t="shared" si="102"/>
        <v>0.87146897125925349</v>
      </c>
      <c r="P162" s="15">
        <f t="shared" si="103"/>
        <v>49.931494029762867</v>
      </c>
      <c r="Q162" s="15">
        <v>-6.0359012715033602</v>
      </c>
      <c r="R162" s="15">
        <f t="shared" si="104"/>
        <v>-0.10534635051304582</v>
      </c>
      <c r="S162" s="16">
        <f t="shared" si="92"/>
        <v>2.6627273422235032E-3</v>
      </c>
      <c r="U162" s="23">
        <f t="shared" si="121"/>
        <v>0.86494910822757565</v>
      </c>
      <c r="V162" s="23">
        <f t="shared" si="105"/>
        <v>49.557933395044351</v>
      </c>
      <c r="W162" s="23">
        <f t="shared" si="106"/>
        <v>7.7155177695891197E-3</v>
      </c>
      <c r="X162" s="23">
        <f t="shared" si="122"/>
        <v>4.4711349923360941E-2</v>
      </c>
      <c r="Y162" s="23">
        <f t="shared" si="123"/>
        <v>-7.4768299933580806E-3</v>
      </c>
      <c r="Z162" s="26">
        <f t="shared" si="107"/>
        <v>-0.10481635123593333</v>
      </c>
      <c r="AA162" s="23">
        <f t="shared" si="108"/>
        <v>-6.0055345497798296</v>
      </c>
      <c r="AB162" s="24">
        <f t="shared" si="124"/>
        <v>7.4050701295291788E-3</v>
      </c>
      <c r="AD162" s="33">
        <f t="shared" si="125"/>
        <v>0.87381810395219872</v>
      </c>
      <c r="AE162" s="33">
        <f t="shared" si="109"/>
        <v>50.066089418584824</v>
      </c>
      <c r="AF162" s="33">
        <f t="shared" si="110"/>
        <v>-1.1534779550339547E-3</v>
      </c>
      <c r="AG162" s="33">
        <f t="shared" si="126"/>
        <v>5.3863476449248007E-2</v>
      </c>
      <c r="AH162" s="33">
        <f t="shared" si="127"/>
        <v>1.1177938834983081E-3</v>
      </c>
      <c r="AI162" s="35">
        <f t="shared" si="93"/>
        <v>-0.1054255859578456</v>
      </c>
      <c r="AJ162" s="33">
        <f t="shared" si="111"/>
        <v>-6.0404411280782293</v>
      </c>
      <c r="AK162" s="37">
        <f t="shared" si="128"/>
        <v>-1.107065708999766E-3</v>
      </c>
      <c r="AM162" s="41">
        <f t="shared" si="112"/>
        <v>-0.12149543762804539</v>
      </c>
      <c r="AN162" s="41">
        <f t="shared" si="113"/>
        <v>-6.9611758061819344</v>
      </c>
      <c r="AO162" s="42">
        <f t="shared" si="114"/>
        <v>0.12149543762804539</v>
      </c>
      <c r="AP162" s="41">
        <f t="shared" si="129"/>
        <v>-0.33248307237370478</v>
      </c>
      <c r="AQ162" s="41">
        <f t="shared" si="130"/>
        <v>-0.10951858681076815</v>
      </c>
      <c r="AR162" s="43">
        <f t="shared" si="94"/>
        <v>1.1054357894696858</v>
      </c>
      <c r="AS162" s="41">
        <f t="shared" si="95"/>
        <v>63.33680525932521</v>
      </c>
      <c r="AU162" s="48">
        <f t="shared" si="131"/>
        <v>0.10907447225080039</v>
      </c>
      <c r="AV162" s="48">
        <f t="shared" si="115"/>
        <v>6.249506912587675</v>
      </c>
      <c r="AW162" s="49">
        <f t="shared" si="116"/>
        <v>0.99636131721888543</v>
      </c>
      <c r="AX162" s="48">
        <f t="shared" si="132"/>
        <v>-0.98853549081026992</v>
      </c>
      <c r="AY162" s="48">
        <f t="shared" si="133"/>
        <v>-1.0094388659437792</v>
      </c>
      <c r="AZ162" s="50">
        <f t="shared" si="117"/>
        <v>-1.0604458487512125E-2</v>
      </c>
      <c r="BA162" s="48">
        <f t="shared" si="118"/>
        <v>-0.60759071535612919</v>
      </c>
      <c r="BB162" s="52">
        <f t="shared" si="134"/>
        <v>-4.7278413589029372E-2</v>
      </c>
      <c r="BC162" s="44">
        <f t="shared" si="119"/>
        <v>0.10907447225080039</v>
      </c>
    </row>
    <row r="163" spans="4:55" x14ac:dyDescent="0.3">
      <c r="D163">
        <f t="shared" si="120"/>
        <v>1.6100000000000012</v>
      </c>
      <c r="F163" s="5">
        <f t="shared" si="96"/>
        <v>0.84847132905771894</v>
      </c>
      <c r="G163" s="6">
        <f t="shared" si="97"/>
        <v>48.61382619286298</v>
      </c>
      <c r="I163" s="9">
        <f t="shared" si="98"/>
        <v>0.84943221222551757</v>
      </c>
      <c r="J163" s="9">
        <f t="shared" si="99"/>
        <v>48.668880742983006</v>
      </c>
      <c r="K163" s="9">
        <f t="shared" si="100"/>
        <v>-6.0359012715033646</v>
      </c>
      <c r="L163" s="9">
        <f t="shared" si="101"/>
        <v>-0.1053463505130459</v>
      </c>
      <c r="M163" s="11">
        <f t="shared" si="91"/>
        <v>5.1738667873067135E-2</v>
      </c>
      <c r="O163" s="15">
        <f t="shared" si="102"/>
        <v>0.87149559853267577</v>
      </c>
      <c r="P163" s="15">
        <f t="shared" si="103"/>
        <v>49.933019660149903</v>
      </c>
      <c r="Q163" s="15">
        <v>-6.0359012715033602</v>
      </c>
      <c r="R163" s="15">
        <f t="shared" si="104"/>
        <v>-0.10534635051304582</v>
      </c>
      <c r="S163" s="16">
        <f t="shared" si="92"/>
        <v>2.6034283098670397E-3</v>
      </c>
      <c r="U163" s="23">
        <f t="shared" si="121"/>
        <v>0.86502315892887094</v>
      </c>
      <c r="V163" s="23">
        <f t="shared" si="105"/>
        <v>49.562176187698554</v>
      </c>
      <c r="W163" s="23">
        <f t="shared" si="106"/>
        <v>7.6414670682938279E-3</v>
      </c>
      <c r="X163" s="23">
        <f t="shared" si="122"/>
        <v>4.4787764594043877E-2</v>
      </c>
      <c r="Y163" s="23">
        <f t="shared" si="123"/>
        <v>-7.4050701295291788E-3</v>
      </c>
      <c r="Z163" s="26">
        <f t="shared" si="107"/>
        <v>-0.10482143797402776</v>
      </c>
      <c r="AA163" s="23">
        <f t="shared" si="108"/>
        <v>-6.0058259984041298</v>
      </c>
      <c r="AB163" s="24">
        <f t="shared" si="124"/>
        <v>7.3339989904825931E-3</v>
      </c>
      <c r="AD163" s="33">
        <f t="shared" si="125"/>
        <v>0.87380703329510867</v>
      </c>
      <c r="AE163" s="33">
        <f t="shared" si="109"/>
        <v>50.065455116657134</v>
      </c>
      <c r="AF163" s="33">
        <f t="shared" si="110"/>
        <v>-1.1424072979439037E-3</v>
      </c>
      <c r="AG163" s="33">
        <f t="shared" si="126"/>
        <v>5.3852052376268569E-2</v>
      </c>
      <c r="AH163" s="33">
        <f t="shared" si="127"/>
        <v>1.107065709005095E-3</v>
      </c>
      <c r="AI163" s="35">
        <f t="shared" si="93"/>
        <v>-0.10542482548519436</v>
      </c>
      <c r="AJ163" s="33">
        <f t="shared" si="111"/>
        <v>-6.0403975562048782</v>
      </c>
      <c r="AK163" s="37">
        <f t="shared" si="128"/>
        <v>-1.0964404995716936E-3</v>
      </c>
      <c r="AM163" s="41">
        <f t="shared" si="112"/>
        <v>-0.12040469290553739</v>
      </c>
      <c r="AN163" s="41">
        <f t="shared" si="113"/>
        <v>-6.8986807370560577</v>
      </c>
      <c r="AO163" s="42">
        <f t="shared" si="114"/>
        <v>0.12040469290553739</v>
      </c>
      <c r="AP163" s="41">
        <f t="shared" si="129"/>
        <v>-0.33127902544464943</v>
      </c>
      <c r="AQ163" s="41">
        <f t="shared" si="130"/>
        <v>-0.10907447225080025</v>
      </c>
      <c r="AR163" s="43">
        <f t="shared" si="94"/>
        <v>1.0949724568045736</v>
      </c>
      <c r="AS163" s="41">
        <f t="shared" si="95"/>
        <v>62.737300457972907</v>
      </c>
      <c r="AU163" s="48">
        <f t="shared" si="131"/>
        <v>0.1086016881149101</v>
      </c>
      <c r="AV163" s="48">
        <f t="shared" si="115"/>
        <v>6.2224183769804222</v>
      </c>
      <c r="AW163" s="49">
        <f t="shared" si="116"/>
        <v>0.98637076868966345</v>
      </c>
      <c r="AX163" s="48">
        <f t="shared" si="132"/>
        <v>-0.97867178312337333</v>
      </c>
      <c r="AY163" s="48">
        <f t="shared" si="133"/>
        <v>-0.99905485292219876</v>
      </c>
      <c r="AZ163" s="50">
        <f t="shared" si="117"/>
        <v>-1.0402696867969241E-2</v>
      </c>
      <c r="BA163" s="48">
        <f t="shared" si="118"/>
        <v>-0.59603062608859769</v>
      </c>
      <c r="BB163" s="52">
        <f t="shared" si="134"/>
        <v>-4.9947615676347368E-2</v>
      </c>
      <c r="BC163" s="44">
        <f t="shared" si="119"/>
        <v>0.1086016881149101</v>
      </c>
    </row>
    <row r="164" spans="4:55" x14ac:dyDescent="0.3">
      <c r="D164">
        <f t="shared" si="120"/>
        <v>1.6200000000000012</v>
      </c>
      <c r="F164" s="5">
        <f t="shared" si="96"/>
        <v>0.84900415954034791</v>
      </c>
      <c r="G164" s="6">
        <f t="shared" si="97"/>
        <v>48.644355130713542</v>
      </c>
      <c r="I164" s="9">
        <f t="shared" si="98"/>
        <v>0.84994959890424826</v>
      </c>
      <c r="J164" s="9">
        <f t="shared" si="99"/>
        <v>48.698524816050565</v>
      </c>
      <c r="K164" s="9">
        <f t="shared" si="100"/>
        <v>-6.0359012715033646</v>
      </c>
      <c r="L164" s="9">
        <f t="shared" si="101"/>
        <v>-0.1053463505130459</v>
      </c>
      <c r="M164" s="11">
        <f t="shared" si="91"/>
        <v>5.0586445904402533E-2</v>
      </c>
      <c r="O164" s="15">
        <f t="shared" si="102"/>
        <v>0.87152163281577444</v>
      </c>
      <c r="P164" s="15">
        <f t="shared" si="103"/>
        <v>49.934511314694106</v>
      </c>
      <c r="Q164" s="15">
        <v>-6.0359012715033602</v>
      </c>
      <c r="R164" s="15">
        <f t="shared" si="104"/>
        <v>-0.10534635051304582</v>
      </c>
      <c r="S164" s="16">
        <f t="shared" si="92"/>
        <v>2.5454498690649086E-3</v>
      </c>
      <c r="U164" s="23">
        <f t="shared" si="121"/>
        <v>0.86509649891877571</v>
      </c>
      <c r="V164" s="23">
        <f t="shared" si="105"/>
        <v>49.566378259589634</v>
      </c>
      <c r="W164" s="23">
        <f t="shared" si="106"/>
        <v>7.5681270783890531E-3</v>
      </c>
      <c r="X164" s="23">
        <f t="shared" si="122"/>
        <v>4.4863445864827767E-2</v>
      </c>
      <c r="Y164" s="23">
        <f t="shared" si="123"/>
        <v>-7.333998990477486E-3</v>
      </c>
      <c r="Z164" s="26">
        <f t="shared" si="107"/>
        <v>-0.10482647589148125</v>
      </c>
      <c r="AA164" s="23">
        <f t="shared" si="108"/>
        <v>-6.0061146498117495</v>
      </c>
      <c r="AB164" s="24">
        <f t="shared" si="124"/>
        <v>7.263609966085216E-3</v>
      </c>
      <c r="AD164" s="33">
        <f t="shared" si="125"/>
        <v>0.87379606889011296</v>
      </c>
      <c r="AE164" s="33">
        <f t="shared" si="109"/>
        <v>50.064826902526008</v>
      </c>
      <c r="AF164" s="33">
        <f t="shared" si="110"/>
        <v>-1.1314428929481979E-3</v>
      </c>
      <c r="AG164" s="33">
        <f t="shared" si="126"/>
        <v>5.3840737947339089E-2</v>
      </c>
      <c r="AH164" s="33">
        <f t="shared" si="127"/>
        <v>1.0964404995705834E-3</v>
      </c>
      <c r="AI164" s="35">
        <f t="shared" si="93"/>
        <v>-0.10542407231127963</v>
      </c>
      <c r="AJ164" s="33">
        <f t="shared" si="111"/>
        <v>-6.0403544025183251</v>
      </c>
      <c r="AK164" s="37">
        <f t="shared" si="128"/>
        <v>-1.0859172669994699E-3</v>
      </c>
      <c r="AM164" s="41">
        <f t="shared" si="112"/>
        <v>-0.11931867602438828</v>
      </c>
      <c r="AN164" s="41">
        <f t="shared" si="113"/>
        <v>-6.8364565532862533</v>
      </c>
      <c r="AO164" s="42">
        <f t="shared" si="114"/>
        <v>0.11931867602438828</v>
      </c>
      <c r="AP164" s="41">
        <f t="shared" si="129"/>
        <v>-0.33008583868440555</v>
      </c>
      <c r="AQ164" s="41">
        <f t="shared" si="130"/>
        <v>-0.10860168811491072</v>
      </c>
      <c r="AR164" s="43">
        <f t="shared" si="94"/>
        <v>1.084585072128972</v>
      </c>
      <c r="AS164" s="41">
        <f t="shared" si="95"/>
        <v>62.142147155882071</v>
      </c>
      <c r="AU164" s="48">
        <f t="shared" si="131"/>
        <v>0.10810221195814662</v>
      </c>
      <c r="AV164" s="48">
        <f t="shared" si="115"/>
        <v>6.1938005012304602</v>
      </c>
      <c r="AW164" s="49">
        <f t="shared" si="116"/>
        <v>0.97648286017082542</v>
      </c>
      <c r="AX164" s="48">
        <f t="shared" si="132"/>
        <v>-0.96890695452166509</v>
      </c>
      <c r="AY164" s="48">
        <f t="shared" si="133"/>
        <v>-0.98879085188380289</v>
      </c>
      <c r="AZ164" s="50">
        <f t="shared" si="117"/>
        <v>-1.0207857038901647E-2</v>
      </c>
      <c r="BA164" s="48">
        <f t="shared" si="118"/>
        <v>-0.58486712620197412</v>
      </c>
      <c r="BB164" s="52">
        <f t="shared" si="134"/>
        <v>-5.2429681496107439E-2</v>
      </c>
      <c r="BC164" s="44">
        <f t="shared" si="119"/>
        <v>0.10810221195814662</v>
      </c>
    </row>
    <row r="165" spans="4:55" x14ac:dyDescent="0.3">
      <c r="D165">
        <f t="shared" si="120"/>
        <v>1.6300000000000012</v>
      </c>
      <c r="F165" s="5">
        <f t="shared" si="96"/>
        <v>0.84952525502365339</v>
      </c>
      <c r="G165" s="6">
        <f t="shared" si="97"/>
        <v>48.674211702630274</v>
      </c>
      <c r="I165" s="9">
        <f t="shared" si="98"/>
        <v>0.85045546336329225</v>
      </c>
      <c r="J165" s="9">
        <f t="shared" si="99"/>
        <v>48.727508714559455</v>
      </c>
      <c r="K165" s="9">
        <f t="shared" si="100"/>
        <v>-6.0359012715033646</v>
      </c>
      <c r="L165" s="9">
        <f t="shared" si="101"/>
        <v>-0.1053463505130459</v>
      </c>
      <c r="M165" s="11">
        <f t="shared" si="91"/>
        <v>4.9459883959849016E-2</v>
      </c>
      <c r="O165" s="15">
        <f t="shared" si="102"/>
        <v>0.87154708731446506</v>
      </c>
      <c r="P165" s="15">
        <f t="shared" si="103"/>
        <v>49.935969750038694</v>
      </c>
      <c r="Q165" s="15">
        <v>-6.0359012715033602</v>
      </c>
      <c r="R165" s="15">
        <f t="shared" si="104"/>
        <v>-0.10534635051304582</v>
      </c>
      <c r="S165" s="16">
        <f t="shared" si="92"/>
        <v>2.488762610195705E-3</v>
      </c>
      <c r="U165" s="23">
        <f t="shared" si="121"/>
        <v>0.86516913501843662</v>
      </c>
      <c r="V165" s="23">
        <f t="shared" si="105"/>
        <v>49.570540001540493</v>
      </c>
      <c r="W165" s="23">
        <f t="shared" si="106"/>
        <v>7.4954909787281476E-3</v>
      </c>
      <c r="X165" s="23">
        <f t="shared" si="122"/>
        <v>4.4938400774615049E-2</v>
      </c>
      <c r="Y165" s="23">
        <f t="shared" si="123"/>
        <v>-7.2636099660905451E-3</v>
      </c>
      <c r="Z165" s="26">
        <f t="shared" si="107"/>
        <v>-0.10483146545685594</v>
      </c>
      <c r="AA165" s="23">
        <f t="shared" si="108"/>
        <v>-6.0064005308493238</v>
      </c>
      <c r="AB165" s="24">
        <f t="shared" si="124"/>
        <v>7.1938965096431939E-3</v>
      </c>
      <c r="AD165" s="33">
        <f t="shared" si="125"/>
        <v>0.873785209717443</v>
      </c>
      <c r="AE165" s="33">
        <f t="shared" si="109"/>
        <v>50.064204717763012</v>
      </c>
      <c r="AF165" s="33">
        <f t="shared" si="110"/>
        <v>-1.1205837202782343E-3</v>
      </c>
      <c r="AG165" s="33">
        <f t="shared" si="126"/>
        <v>5.3829532110136309E-2</v>
      </c>
      <c r="AH165" s="33">
        <f t="shared" si="127"/>
        <v>1.0859172669963613E-3</v>
      </c>
      <c r="AI165" s="35">
        <f t="shared" si="93"/>
        <v>-0.10542332636605113</v>
      </c>
      <c r="AJ165" s="33">
        <f t="shared" si="111"/>
        <v>-6.0403116630049842</v>
      </c>
      <c r="AK165" s="37">
        <f t="shared" si="128"/>
        <v>-1.0754950325415624E-3</v>
      </c>
      <c r="AM165" s="41">
        <f t="shared" si="112"/>
        <v>-0.11823765390480681</v>
      </c>
      <c r="AN165" s="41">
        <f t="shared" si="113"/>
        <v>-6.7745185482739485</v>
      </c>
      <c r="AO165" s="42">
        <f t="shared" si="114"/>
        <v>0.11823765390480681</v>
      </c>
      <c r="AP165" s="41">
        <f t="shared" si="129"/>
        <v>-0.32890346214535748</v>
      </c>
      <c r="AQ165" s="41">
        <f t="shared" si="130"/>
        <v>-0.10810221195814707</v>
      </c>
      <c r="AR165" s="43">
        <f t="shared" si="94"/>
        <v>1.0742743270899209</v>
      </c>
      <c r="AS165" s="41">
        <f t="shared" si="95"/>
        <v>61.551384981508988</v>
      </c>
      <c r="AU165" s="48">
        <f t="shared" si="131"/>
        <v>0.10757791514318554</v>
      </c>
      <c r="AV165" s="48">
        <f t="shared" si="115"/>
        <v>6.1637605065210392</v>
      </c>
      <c r="AW165" s="49">
        <f t="shared" si="116"/>
        <v>0.96669641194673539</v>
      </c>
      <c r="AX165" s="48">
        <f t="shared" si="132"/>
        <v>-0.95923999040219776</v>
      </c>
      <c r="AY165" s="48">
        <f t="shared" si="133"/>
        <v>-0.97864482240900275</v>
      </c>
      <c r="AZ165" s="50">
        <f t="shared" si="117"/>
        <v>-1.0019618977030242E-2</v>
      </c>
      <c r="BA165" s="48">
        <f t="shared" si="118"/>
        <v>-0.57408187971302027</v>
      </c>
      <c r="BB165" s="52">
        <f t="shared" si="134"/>
        <v>-5.4734682362222481E-2</v>
      </c>
      <c r="BC165" s="44">
        <f t="shared" si="119"/>
        <v>0.10757791514318554</v>
      </c>
    </row>
    <row r="166" spans="4:55" x14ac:dyDescent="0.3">
      <c r="D166">
        <f t="shared" si="120"/>
        <v>1.6400000000000012</v>
      </c>
      <c r="F166" s="5">
        <f t="shared" si="96"/>
        <v>0.85003487395795607</v>
      </c>
      <c r="G166" s="6">
        <f t="shared" si="97"/>
        <v>48.703410716725777</v>
      </c>
      <c r="I166" s="9">
        <f t="shared" si="98"/>
        <v>0.85095006220289071</v>
      </c>
      <c r="J166" s="9">
        <f t="shared" si="99"/>
        <v>48.755847140620517</v>
      </c>
      <c r="K166" s="9">
        <f t="shared" si="100"/>
        <v>-6.0359012715033646</v>
      </c>
      <c r="L166" s="9">
        <f t="shared" si="101"/>
        <v>-0.1053463505130459</v>
      </c>
      <c r="M166" s="11">
        <f t="shared" si="91"/>
        <v>4.8358410589758538E-2</v>
      </c>
      <c r="O166" s="15">
        <f t="shared" si="102"/>
        <v>0.87157197494056704</v>
      </c>
      <c r="P166" s="15">
        <f t="shared" si="103"/>
        <v>49.937395705976442</v>
      </c>
      <c r="Q166" s="15">
        <v>-6.0359012715033602</v>
      </c>
      <c r="R166" s="15">
        <f t="shared" si="104"/>
        <v>-0.10534635051304582</v>
      </c>
      <c r="S166" s="16">
        <f t="shared" si="92"/>
        <v>2.433337778591893E-3</v>
      </c>
      <c r="U166" s="23">
        <f t="shared" si="121"/>
        <v>0.865241073983533</v>
      </c>
      <c r="V166" s="23">
        <f t="shared" si="105"/>
        <v>49.574661800623055</v>
      </c>
      <c r="W166" s="23">
        <f t="shared" si="106"/>
        <v>7.4235520136317623E-3</v>
      </c>
      <c r="X166" s="23">
        <f t="shared" si="122"/>
        <v>4.5012636294751364E-2</v>
      </c>
      <c r="Y166" s="23">
        <f t="shared" si="123"/>
        <v>-7.193896509638531E-3</v>
      </c>
      <c r="Z166" s="26">
        <f t="shared" si="107"/>
        <v>-0.10483640713421806</v>
      </c>
      <c r="AA166" s="23">
        <f t="shared" si="108"/>
        <v>-6.0066836681058886</v>
      </c>
      <c r="AB166" s="24">
        <f t="shared" si="124"/>
        <v>7.124852137319726E-3</v>
      </c>
      <c r="AD166" s="33">
        <f t="shared" si="125"/>
        <v>0.87377445476711757</v>
      </c>
      <c r="AE166" s="33">
        <f t="shared" si="109"/>
        <v>50.063588504500494</v>
      </c>
      <c r="AF166" s="33">
        <f t="shared" si="110"/>
        <v>-1.1098287699528031E-3</v>
      </c>
      <c r="AG166" s="33">
        <f t="shared" si="126"/>
        <v>5.3818433822436784E-2</v>
      </c>
      <c r="AH166" s="33">
        <f t="shared" si="127"/>
        <v>1.0754950325431167E-3</v>
      </c>
      <c r="AI166" s="35">
        <f t="shared" si="93"/>
        <v>-0.10542258758013068</v>
      </c>
      <c r="AJ166" s="33">
        <f t="shared" si="111"/>
        <v>-6.0402693336897784</v>
      </c>
      <c r="AK166" s="37">
        <f t="shared" si="128"/>
        <v>-1.0651728268522564E-3</v>
      </c>
      <c r="AM166" s="41">
        <f t="shared" si="112"/>
        <v>-0.11716187475337496</v>
      </c>
      <c r="AN166" s="41">
        <f t="shared" si="113"/>
        <v>-6.712880943208738</v>
      </c>
      <c r="AO166" s="42">
        <f t="shared" si="114"/>
        <v>0.11716187475337496</v>
      </c>
      <c r="AP166" s="41">
        <f t="shared" si="129"/>
        <v>-0.32773184339782374</v>
      </c>
      <c r="AQ166" s="41">
        <f t="shared" si="130"/>
        <v>-0.10757791514318521</v>
      </c>
      <c r="AR166" s="43">
        <f t="shared" si="94"/>
        <v>1.0640408323905644</v>
      </c>
      <c r="AS166" s="41">
        <f t="shared" si="95"/>
        <v>60.965048925566357</v>
      </c>
      <c r="AU166" s="48">
        <f t="shared" si="131"/>
        <v>0.10703056831956331</v>
      </c>
      <c r="AV166" s="48">
        <f t="shared" si="115"/>
        <v>6.1323998435975939</v>
      </c>
      <c r="AW166" s="49">
        <f t="shared" si="116"/>
        <v>0.95701026407100098</v>
      </c>
      <c r="AX166" s="48">
        <f t="shared" si="132"/>
        <v>-0.94966988776148775</v>
      </c>
      <c r="AY166" s="48">
        <f t="shared" si="133"/>
        <v>-0.96861478757344077</v>
      </c>
      <c r="AZ166" s="50">
        <f t="shared" si="117"/>
        <v>-9.8376786811592565E-3</v>
      </c>
      <c r="BA166" s="48">
        <f t="shared" si="118"/>
        <v>-0.56365746863625121</v>
      </c>
      <c r="BB166" s="52">
        <f t="shared" si="134"/>
        <v>-5.6872169725037447E-2</v>
      </c>
      <c r="BC166" s="44">
        <f t="shared" si="119"/>
        <v>0.10703056831956331</v>
      </c>
    </row>
    <row r="167" spans="4:55" x14ac:dyDescent="0.3">
      <c r="D167">
        <f t="shared" si="120"/>
        <v>1.6500000000000012</v>
      </c>
      <c r="F167" s="5">
        <f t="shared" si="96"/>
        <v>0.85053326910149551</v>
      </c>
      <c r="G167" s="6">
        <f t="shared" si="97"/>
        <v>48.731966654980404</v>
      </c>
      <c r="I167" s="9">
        <f t="shared" si="98"/>
        <v>0.85143364630878826</v>
      </c>
      <c r="J167" s="9">
        <f t="shared" si="99"/>
        <v>48.783554468928052</v>
      </c>
      <c r="K167" s="9">
        <f t="shared" si="100"/>
        <v>-6.0359012715033646</v>
      </c>
      <c r="L167" s="9">
        <f t="shared" si="101"/>
        <v>-0.1053463505130459</v>
      </c>
      <c r="M167" s="11">
        <f t="shared" si="91"/>
        <v>4.7281467070688699E-2</v>
      </c>
      <c r="O167" s="15">
        <f t="shared" si="102"/>
        <v>0.871596308318353</v>
      </c>
      <c r="P167" s="15">
        <f t="shared" si="103"/>
        <v>49.938789905824876</v>
      </c>
      <c r="Q167" s="15">
        <v>-6.0359012715033602</v>
      </c>
      <c r="R167" s="15">
        <f t="shared" si="104"/>
        <v>-0.10534635051304582</v>
      </c>
      <c r="S167" s="16">
        <f t="shared" si="92"/>
        <v>2.3791472599539176E-3</v>
      </c>
      <c r="U167" s="23">
        <f t="shared" si="121"/>
        <v>0.8653123225049062</v>
      </c>
      <c r="V167" s="23">
        <f t="shared" si="105"/>
        <v>49.578744040194287</v>
      </c>
      <c r="W167" s="23">
        <f t="shared" si="106"/>
        <v>7.3523034922585717E-3</v>
      </c>
      <c r="X167" s="23">
        <f t="shared" si="122"/>
        <v>4.5086159329673949E-2</v>
      </c>
      <c r="Y167" s="23">
        <f t="shared" si="123"/>
        <v>-7.1248521373190599E-3</v>
      </c>
      <c r="Z167" s="26">
        <f t="shared" si="107"/>
        <v>-0.10484130138317845</v>
      </c>
      <c r="AA167" s="23">
        <f t="shared" si="108"/>
        <v>-6.0069640879152049</v>
      </c>
      <c r="AB167" s="24">
        <f t="shared" si="124"/>
        <v>7.0564704274775902E-3</v>
      </c>
      <c r="AD167" s="33">
        <f t="shared" si="125"/>
        <v>0.87376380303884904</v>
      </c>
      <c r="AE167" s="33">
        <f t="shared" si="109"/>
        <v>50.062978205426184</v>
      </c>
      <c r="AF167" s="33">
        <f t="shared" si="110"/>
        <v>-1.0991770416842739E-3</v>
      </c>
      <c r="AG167" s="33">
        <f t="shared" si="126"/>
        <v>5.3807442052019941E-2</v>
      </c>
      <c r="AH167" s="33">
        <f t="shared" si="127"/>
        <v>1.0651728268529226E-3</v>
      </c>
      <c r="AI167" s="35">
        <f t="shared" si="93"/>
        <v>-0.1054218558848056</v>
      </c>
      <c r="AJ167" s="33">
        <f t="shared" si="111"/>
        <v>-6.0402274106357616</v>
      </c>
      <c r="AK167" s="37">
        <f t="shared" si="128"/>
        <v>-1.0549496898997202E-3</v>
      </c>
      <c r="AM167" s="41">
        <f t="shared" si="112"/>
        <v>-0.11609156907017933</v>
      </c>
      <c r="AN167" s="41">
        <f t="shared" si="113"/>
        <v>-6.6515569447727625</v>
      </c>
      <c r="AO167" s="42">
        <f t="shared" si="114"/>
        <v>0.11609156907017933</v>
      </c>
      <c r="AP167" s="41">
        <f t="shared" si="129"/>
        <v>-0.32657092770712193</v>
      </c>
      <c r="AQ167" s="41">
        <f t="shared" si="130"/>
        <v>-0.10703056831956326</v>
      </c>
      <c r="AR167" s="43">
        <f t="shared" si="94"/>
        <v>1.0538851223822299</v>
      </c>
      <c r="AS167" s="41">
        <f t="shared" si="95"/>
        <v>60.383169604130025</v>
      </c>
      <c r="AU167" s="48">
        <f t="shared" si="131"/>
        <v>0.10646184662231294</v>
      </c>
      <c r="AV167" s="48">
        <f t="shared" si="115"/>
        <v>6.0998144906276304</v>
      </c>
      <c r="AW167" s="49">
        <f t="shared" si="116"/>
        <v>0.94742327575991692</v>
      </c>
      <c r="AX167" s="48">
        <f t="shared" si="132"/>
        <v>-0.94019565500388858</v>
      </c>
      <c r="AY167" s="48">
        <f t="shared" si="133"/>
        <v>-0.95869883110840659</v>
      </c>
      <c r="AZ167" s="50">
        <f t="shared" si="117"/>
        <v>-9.6617473565146494E-3</v>
      </c>
      <c r="BA167" s="48">
        <f t="shared" si="118"/>
        <v>-0.55357734624996935</v>
      </c>
      <c r="BB167" s="52">
        <f t="shared" si="134"/>
        <v>-5.8851201796016689E-2</v>
      </c>
      <c r="BC167" s="44">
        <f t="shared" si="119"/>
        <v>0.10646184662231294</v>
      </c>
    </row>
    <row r="168" spans="4:55" x14ac:dyDescent="0.3">
      <c r="D168">
        <f t="shared" si="120"/>
        <v>1.6600000000000013</v>
      </c>
      <c r="F168" s="5">
        <f t="shared" si="96"/>
        <v>0.85102068764579186</v>
      </c>
      <c r="G168" s="6">
        <f t="shared" si="97"/>
        <v>48.759893680424994</v>
      </c>
      <c r="I168" s="9">
        <f t="shared" si="98"/>
        <v>0.85190646097949518</v>
      </c>
      <c r="J168" s="9">
        <f t="shared" si="99"/>
        <v>48.810644754051424</v>
      </c>
      <c r="K168" s="9">
        <f t="shared" si="100"/>
        <v>-6.0359012715033646</v>
      </c>
      <c r="L168" s="9">
        <f t="shared" si="101"/>
        <v>-0.1053463505130459</v>
      </c>
      <c r="M168" s="11">
        <f t="shared" si="91"/>
        <v>4.6228507121986784E-2</v>
      </c>
      <c r="O168" s="15">
        <f t="shared" si="102"/>
        <v>0.87162009979095256</v>
      </c>
      <c r="P168" s="15">
        <f t="shared" si="103"/>
        <v>49.940153056793228</v>
      </c>
      <c r="Q168" s="15">
        <v>-6.0359012715033602</v>
      </c>
      <c r="R168" s="15">
        <f t="shared" si="104"/>
        <v>-0.10534635051304582</v>
      </c>
      <c r="S168" s="16">
        <f t="shared" si="92"/>
        <v>2.3261635660885016E-3</v>
      </c>
      <c r="U168" s="23">
        <f t="shared" si="121"/>
        <v>0.865382887209181</v>
      </c>
      <c r="V168" s="23">
        <f t="shared" si="105"/>
        <v>49.582787099931821</v>
      </c>
      <c r="W168" s="23">
        <f t="shared" si="106"/>
        <v>7.2817387879837714E-3</v>
      </c>
      <c r="X168" s="23">
        <f t="shared" si="122"/>
        <v>4.5158976717553784E-2</v>
      </c>
      <c r="Y168" s="23">
        <f t="shared" si="123"/>
        <v>-7.0564704274800327E-3</v>
      </c>
      <c r="Z168" s="26">
        <f t="shared" si="107"/>
        <v>-0.10484614865893771</v>
      </c>
      <c r="AA168" s="23">
        <f t="shared" si="108"/>
        <v>-6.0072418163583468</v>
      </c>
      <c r="AB168" s="24">
        <f t="shared" si="124"/>
        <v>6.9887450201306933E-3</v>
      </c>
      <c r="AD168" s="33">
        <f t="shared" si="125"/>
        <v>0.87375325354194999</v>
      </c>
      <c r="AE168" s="33">
        <f t="shared" si="109"/>
        <v>50.062373763777885</v>
      </c>
      <c r="AF168" s="33">
        <f t="shared" si="110"/>
        <v>-1.0886275447852256E-3</v>
      </c>
      <c r="AG168" s="33">
        <f t="shared" si="126"/>
        <v>5.3796555776572087E-2</v>
      </c>
      <c r="AH168" s="33">
        <f t="shared" si="127"/>
        <v>1.0549496899048272E-3</v>
      </c>
      <c r="AI168" s="35">
        <f t="shared" si="93"/>
        <v>-0.10542113121202325</v>
      </c>
      <c r="AJ168" s="33">
        <f t="shared" si="111"/>
        <v>-6.040185889943805</v>
      </c>
      <c r="AK168" s="37">
        <f t="shared" si="128"/>
        <v>-1.0448246708507636E-3</v>
      </c>
      <c r="AM168" s="41">
        <f t="shared" si="112"/>
        <v>-0.11502695060395619</v>
      </c>
      <c r="AN168" s="41">
        <f t="shared" si="113"/>
        <v>-6.5905587998664856</v>
      </c>
      <c r="AO168" s="42">
        <f t="shared" si="114"/>
        <v>0.11502695060395619</v>
      </c>
      <c r="AP168" s="41">
        <f t="shared" si="129"/>
        <v>-0.32542065820108235</v>
      </c>
      <c r="AQ168" s="41">
        <f t="shared" si="130"/>
        <v>-0.10646184662231328</v>
      </c>
      <c r="AR168" s="43">
        <f t="shared" si="94"/>
        <v>1.0438076594172487</v>
      </c>
      <c r="AS168" s="41">
        <f t="shared" si="95"/>
        <v>59.805773508037213</v>
      </c>
      <c r="AU168" s="48">
        <f t="shared" si="131"/>
        <v>0.10587333460435278</v>
      </c>
      <c r="AV168" s="48">
        <f t="shared" si="115"/>
        <v>6.0660952358057854</v>
      </c>
      <c r="AW168" s="49">
        <f t="shared" si="116"/>
        <v>0.93793432481289596</v>
      </c>
      <c r="AX168" s="48">
        <f t="shared" si="132"/>
        <v>-0.93081631175575963</v>
      </c>
      <c r="AY168" s="48">
        <f t="shared" si="133"/>
        <v>-0.94889509470209576</v>
      </c>
      <c r="AZ168" s="50">
        <f t="shared" si="117"/>
        <v>-9.4915506407621808E-3</v>
      </c>
      <c r="BA168" s="48">
        <f t="shared" si="118"/>
        <v>-0.54382579275036513</v>
      </c>
      <c r="BB168" s="52">
        <f t="shared" si="134"/>
        <v>-6.0680368810594076E-2</v>
      </c>
      <c r="BC168" s="44">
        <f t="shared" si="119"/>
        <v>0.10587333460435278</v>
      </c>
    </row>
    <row r="169" spans="4:55" x14ac:dyDescent="0.3">
      <c r="D169">
        <f t="shared" si="120"/>
        <v>1.6700000000000013</v>
      </c>
      <c r="F169" s="5">
        <f t="shared" si="96"/>
        <v>0.85149737133824677</v>
      </c>
      <c r="G169" s="6">
        <f t="shared" si="97"/>
        <v>48.787205644165368</v>
      </c>
      <c r="I169" s="9">
        <f t="shared" si="98"/>
        <v>0.852368746050715</v>
      </c>
      <c r="J169" s="9">
        <f t="shared" si="99"/>
        <v>48.837131737564228</v>
      </c>
      <c r="K169" s="9">
        <f t="shared" si="100"/>
        <v>-6.0359012715033646</v>
      </c>
      <c r="L169" s="9">
        <f t="shared" si="101"/>
        <v>-0.1053463505130459</v>
      </c>
      <c r="M169" s="11">
        <f t="shared" si="91"/>
        <v>4.5198996628690091E-2</v>
      </c>
      <c r="O169" s="15">
        <f t="shared" si="102"/>
        <v>0.87164336142661347</v>
      </c>
      <c r="P169" s="15">
        <f t="shared" si="103"/>
        <v>49.941485850341174</v>
      </c>
      <c r="Q169" s="15">
        <v>-6.0359012715033602</v>
      </c>
      <c r="R169" s="15">
        <f t="shared" si="104"/>
        <v>-0.10534635051304582</v>
      </c>
      <c r="S169" s="16">
        <f t="shared" si="92"/>
        <v>2.2743598209642446E-3</v>
      </c>
      <c r="U169" s="23">
        <f t="shared" si="121"/>
        <v>0.86545277465938231</v>
      </c>
      <c r="V169" s="23">
        <f t="shared" si="105"/>
        <v>49.586791355869288</v>
      </c>
      <c r="W169" s="23">
        <f t="shared" si="106"/>
        <v>7.21185133778246E-3</v>
      </c>
      <c r="X169" s="23">
        <f t="shared" si="122"/>
        <v>4.5231095230931606E-2</v>
      </c>
      <c r="Y169" s="23">
        <f t="shared" si="123"/>
        <v>-6.9887450201311374E-3</v>
      </c>
      <c r="Z169" s="26">
        <f t="shared" si="107"/>
        <v>-0.10485094941232748</v>
      </c>
      <c r="AA169" s="23">
        <f t="shared" si="108"/>
        <v>-6.0075168792660634</v>
      </c>
      <c r="AB169" s="24">
        <f t="shared" si="124"/>
        <v>6.9216696163321156E-3</v>
      </c>
      <c r="AD169" s="33">
        <f t="shared" si="125"/>
        <v>0.87374280529524151</v>
      </c>
      <c r="AE169" s="33">
        <f t="shared" si="109"/>
        <v>50.061775123338172</v>
      </c>
      <c r="AF169" s="33">
        <f t="shared" si="110"/>
        <v>-1.0781792980767424E-3</v>
      </c>
      <c r="AG169" s="33">
        <f t="shared" si="126"/>
        <v>5.3785773983591322E-2</v>
      </c>
      <c r="AH169" s="33">
        <f t="shared" si="127"/>
        <v>1.0448246708483211E-3</v>
      </c>
      <c r="AI169" s="35">
        <f t="shared" si="93"/>
        <v>-0.1054204134943834</v>
      </c>
      <c r="AJ169" s="33">
        <f t="shared" si="111"/>
        <v>-6.0401447677521594</v>
      </c>
      <c r="AK169" s="37">
        <f t="shared" si="128"/>
        <v>-1.0347968280157716E-3</v>
      </c>
      <c r="AM169" s="41">
        <f t="shared" si="112"/>
        <v>-0.11396821725791266</v>
      </c>
      <c r="AN169" s="41">
        <f t="shared" si="113"/>
        <v>-6.5298978475084271</v>
      </c>
      <c r="AO169" s="42">
        <f t="shared" si="114"/>
        <v>0.11396821725791266</v>
      </c>
      <c r="AP169" s="41">
        <f t="shared" si="129"/>
        <v>-0.3242809760285032</v>
      </c>
      <c r="AQ169" s="41">
        <f t="shared" si="130"/>
        <v>-0.10587333460435333</v>
      </c>
      <c r="AR169" s="43">
        <f t="shared" si="94"/>
        <v>1.0338088379747732</v>
      </c>
      <c r="AS169" s="41">
        <f t="shared" si="95"/>
        <v>59.232883239278451</v>
      </c>
      <c r="AU169" s="48">
        <f t="shared" si="131"/>
        <v>0.10526653091624684</v>
      </c>
      <c r="AV169" s="48">
        <f t="shared" si="115"/>
        <v>6.0313279454843425</v>
      </c>
      <c r="AW169" s="49">
        <f t="shared" si="116"/>
        <v>0.92854230705852636</v>
      </c>
      <c r="AX169" s="48">
        <f t="shared" si="132"/>
        <v>-0.92153088868517441</v>
      </c>
      <c r="AY169" s="48">
        <f t="shared" si="133"/>
        <v>-0.93920177543695971</v>
      </c>
      <c r="AZ169" s="50">
        <f t="shared" si="117"/>
        <v>-9.3268278695191054E-3</v>
      </c>
      <c r="BA169" s="48">
        <f t="shared" si="118"/>
        <v>-0.53438787316843805</v>
      </c>
      <c r="BB169" s="52">
        <f t="shared" si="134"/>
        <v>-6.2367816999839731E-2</v>
      </c>
      <c r="BC169" s="44">
        <f t="shared" si="119"/>
        <v>0.10526653091624684</v>
      </c>
    </row>
    <row r="170" spans="4:55" x14ac:dyDescent="0.3">
      <c r="D170">
        <f t="shared" si="120"/>
        <v>1.6800000000000013</v>
      </c>
      <c r="F170" s="5">
        <f t="shared" si="96"/>
        <v>0.85196355660204415</v>
      </c>
      <c r="G170" s="6">
        <f t="shared" si="97"/>
        <v>48.81391609225215</v>
      </c>
      <c r="I170" s="9">
        <f t="shared" si="98"/>
        <v>0.85282073601700192</v>
      </c>
      <c r="J170" s="9">
        <f t="shared" si="99"/>
        <v>48.863028855014726</v>
      </c>
      <c r="K170" s="9">
        <f t="shared" si="100"/>
        <v>-6.0359012715033646</v>
      </c>
      <c r="L170" s="9">
        <f t="shared" si="101"/>
        <v>-0.1053463505130459</v>
      </c>
      <c r="M170" s="11">
        <f t="shared" si="91"/>
        <v>4.4192413370594874E-2</v>
      </c>
      <c r="O170" s="15">
        <f t="shared" si="102"/>
        <v>0.87166610502482311</v>
      </c>
      <c r="P170" s="15">
        <f t="shared" si="103"/>
        <v>49.942788962529526</v>
      </c>
      <c r="Q170" s="15">
        <v>-6.0359012715033602</v>
      </c>
      <c r="R170" s="15">
        <f t="shared" si="104"/>
        <v>-0.10534635051304582</v>
      </c>
      <c r="S170" s="16">
        <f t="shared" si="92"/>
        <v>2.2237097470816369E-3</v>
      </c>
      <c r="U170" s="23">
        <f t="shared" si="121"/>
        <v>0.86552199135554564</v>
      </c>
      <c r="V170" s="23">
        <f t="shared" si="105"/>
        <v>49.590757180431289</v>
      </c>
      <c r="W170" s="23">
        <f t="shared" si="106"/>
        <v>7.1426346416191278E-3</v>
      </c>
      <c r="X170" s="23">
        <f t="shared" si="122"/>
        <v>4.53025215773478E-2</v>
      </c>
      <c r="Y170" s="23">
        <f t="shared" si="123"/>
        <v>-6.9216696163332259E-3</v>
      </c>
      <c r="Z170" s="26">
        <f t="shared" si="107"/>
        <v>-0.10485570408985219</v>
      </c>
      <c r="AA170" s="23">
        <f t="shared" si="108"/>
        <v>-6.007789302221175</v>
      </c>
      <c r="AB170" s="24">
        <f t="shared" si="124"/>
        <v>6.8552379775841388E-3</v>
      </c>
      <c r="AD170" s="33">
        <f t="shared" si="125"/>
        <v>0.87373245732696136</v>
      </c>
      <c r="AE170" s="33">
        <f t="shared" si="109"/>
        <v>50.061182228429189</v>
      </c>
      <c r="AF170" s="33">
        <f t="shared" si="110"/>
        <v>-1.067831329796598E-3</v>
      </c>
      <c r="AG170" s="33">
        <f t="shared" si="126"/>
        <v>5.3775095670293357E-2</v>
      </c>
      <c r="AH170" s="33">
        <f t="shared" si="127"/>
        <v>1.0347968280144393E-3</v>
      </c>
      <c r="AI170" s="35">
        <f t="shared" si="93"/>
        <v>-0.10541970266513359</v>
      </c>
      <c r="AJ170" s="33">
        <f t="shared" si="111"/>
        <v>-6.0401040402361907</v>
      </c>
      <c r="AK170" s="37">
        <f t="shared" si="128"/>
        <v>-1.0248652287241367E-3</v>
      </c>
      <c r="AM170" s="41">
        <f t="shared" si="112"/>
        <v>-0.11291555194875019</v>
      </c>
      <c r="AN170" s="41">
        <f t="shared" si="113"/>
        <v>-6.469584568053584</v>
      </c>
      <c r="AO170" s="42">
        <f t="shared" si="114"/>
        <v>0.11291555194875019</v>
      </c>
      <c r="AP170" s="41">
        <f t="shared" si="129"/>
        <v>-0.3231518205090157</v>
      </c>
      <c r="AQ170" s="41">
        <f t="shared" si="130"/>
        <v>-0.10526653091624677</v>
      </c>
      <c r="AR170" s="43">
        <f t="shared" si="94"/>
        <v>1.023888988571255</v>
      </c>
      <c r="AS170" s="41">
        <f t="shared" si="95"/>
        <v>58.66451773505149</v>
      </c>
      <c r="AU170" s="48">
        <f t="shared" si="131"/>
        <v>0.10464285274624845</v>
      </c>
      <c r="AV170" s="48">
        <f t="shared" si="115"/>
        <v>5.9955938185689917</v>
      </c>
      <c r="AW170" s="49">
        <f t="shared" si="116"/>
        <v>0.91924613582500658</v>
      </c>
      <c r="AX170" s="48">
        <f t="shared" si="132"/>
        <v>-0.91233842732692438</v>
      </c>
      <c r="AY170" s="48">
        <f t="shared" si="133"/>
        <v>-0.92961712335197788</v>
      </c>
      <c r="AZ170" s="50">
        <f t="shared" si="117"/>
        <v>-9.1673313794045086E-3</v>
      </c>
      <c r="BA170" s="48">
        <f t="shared" si="118"/>
        <v>-0.52524939743772159</v>
      </c>
      <c r="BB170" s="52">
        <f t="shared" si="134"/>
        <v>-6.3921271335765778E-2</v>
      </c>
      <c r="BC170" s="44">
        <f t="shared" si="119"/>
        <v>0.10464285274624845</v>
      </c>
    </row>
    <row r="171" spans="4:55" x14ac:dyDescent="0.3">
      <c r="D171">
        <f t="shared" si="120"/>
        <v>1.6900000000000013</v>
      </c>
      <c r="F171" s="5">
        <f t="shared" si="96"/>
        <v>0.85241947465340961</v>
      </c>
      <c r="G171" s="6">
        <f t="shared" si="97"/>
        <v>48.840038272399219</v>
      </c>
      <c r="I171" s="9">
        <f t="shared" si="98"/>
        <v>0.85326266015070784</v>
      </c>
      <c r="J171" s="9">
        <f t="shared" si="99"/>
        <v>48.88834924274105</v>
      </c>
      <c r="K171" s="9">
        <f t="shared" si="100"/>
        <v>-6.0359012715033646</v>
      </c>
      <c r="L171" s="9">
        <f t="shared" si="101"/>
        <v>-0.1053463505130459</v>
      </c>
      <c r="M171" s="11">
        <f t="shared" si="91"/>
        <v>4.3208246757360458E-2</v>
      </c>
      <c r="O171" s="15">
        <f t="shared" si="102"/>
        <v>0.87168834212229396</v>
      </c>
      <c r="P171" s="15">
        <f t="shared" si="103"/>
        <v>49.944063054363227</v>
      </c>
      <c r="Q171" s="15">
        <v>-6.0359012715033602</v>
      </c>
      <c r="R171" s="15">
        <f t="shared" si="104"/>
        <v>-0.10534635051304582</v>
      </c>
      <c r="S171" s="16">
        <f t="shared" si="92"/>
        <v>2.1741876521406134E-3</v>
      </c>
      <c r="U171" s="23">
        <f t="shared" si="121"/>
        <v>0.86559054373532152</v>
      </c>
      <c r="V171" s="23">
        <f t="shared" si="105"/>
        <v>49.594684942468021</v>
      </c>
      <c r="W171" s="23">
        <f t="shared" si="106"/>
        <v>7.0740822618432508E-3</v>
      </c>
      <c r="X171" s="23">
        <f t="shared" si="122"/>
        <v>4.5373262399966231E-2</v>
      </c>
      <c r="Y171" s="23">
        <f t="shared" si="123"/>
        <v>-6.8552379775876915E-3</v>
      </c>
      <c r="Z171" s="26">
        <f t="shared" si="107"/>
        <v>-0.10486041313373103</v>
      </c>
      <c r="AA171" s="23">
        <f t="shared" si="108"/>
        <v>-6.0080591105609749</v>
      </c>
      <c r="AB171" s="24">
        <f t="shared" si="124"/>
        <v>6.7894439252655925E-3</v>
      </c>
      <c r="AD171" s="33">
        <f t="shared" si="125"/>
        <v>0.87372220867467409</v>
      </c>
      <c r="AE171" s="33">
        <f t="shared" si="109"/>
        <v>50.060595023907432</v>
      </c>
      <c r="AF171" s="33">
        <f t="shared" si="110"/>
        <v>-1.0575826775093278E-3</v>
      </c>
      <c r="AG171" s="33">
        <f t="shared" si="126"/>
        <v>5.3764519843518266E-2</v>
      </c>
      <c r="AH171" s="33">
        <f t="shared" si="127"/>
        <v>1.0248652287270232E-3</v>
      </c>
      <c r="AI171" s="35">
        <f t="shared" si="93"/>
        <v>-0.10541899865816151</v>
      </c>
      <c r="AJ171" s="33">
        <f t="shared" si="111"/>
        <v>-6.0400637036079434</v>
      </c>
      <c r="AK171" s="37">
        <f t="shared" si="128"/>
        <v>-1.0150289492678599E-3</v>
      </c>
      <c r="AM171" s="41">
        <f t="shared" si="112"/>
        <v>-0.11186912342128771</v>
      </c>
      <c r="AN171" s="41">
        <f t="shared" si="113"/>
        <v>-6.4096286298678944</v>
      </c>
      <c r="AO171" s="42">
        <f t="shared" si="114"/>
        <v>0.11186912342128771</v>
      </c>
      <c r="AP171" s="41">
        <f t="shared" si="129"/>
        <v>-0.32203312927480282</v>
      </c>
      <c r="AQ171" s="41">
        <f t="shared" si="130"/>
        <v>-0.10464285274624785</v>
      </c>
      <c r="AR171" s="43">
        <f t="shared" si="94"/>
        <v>1.0140483814666292</v>
      </c>
      <c r="AS171" s="41">
        <f t="shared" si="95"/>
        <v>58.100692480109984</v>
      </c>
      <c r="AU171" s="48">
        <f t="shared" si="131"/>
        <v>0.10400364003289078</v>
      </c>
      <c r="AV171" s="48">
        <f t="shared" si="115"/>
        <v>5.9589696278824924</v>
      </c>
      <c r="AW171" s="49">
        <f t="shared" si="116"/>
        <v>0.91004474143373848</v>
      </c>
      <c r="AX171" s="48">
        <f t="shared" si="132"/>
        <v>-0.90323797991258703</v>
      </c>
      <c r="AY171" s="48">
        <f t="shared" si="133"/>
        <v>-0.92013943912681029</v>
      </c>
      <c r="AZ171" s="50">
        <f t="shared" si="117"/>
        <v>-9.0128258466688482E-3</v>
      </c>
      <c r="BA171" s="48">
        <f t="shared" si="118"/>
        <v>-0.51639688250054783</v>
      </c>
      <c r="BB171" s="52">
        <f t="shared" si="134"/>
        <v>-6.5348057113728319E-2</v>
      </c>
      <c r="BC171" s="44">
        <f t="shared" si="119"/>
        <v>0.10400364003289078</v>
      </c>
    </row>
    <row r="172" spans="4:55" x14ac:dyDescent="0.3">
      <c r="D172">
        <f t="shared" si="120"/>
        <v>1.7000000000000013</v>
      </c>
      <c r="F172" s="5">
        <f t="shared" si="96"/>
        <v>0.85286535161628863</v>
      </c>
      <c r="G172" s="6">
        <f t="shared" si="97"/>
        <v>48.865585140554302</v>
      </c>
      <c r="I172" s="9">
        <f t="shared" si="98"/>
        <v>0.85369474261828149</v>
      </c>
      <c r="J172" s="9">
        <f t="shared" si="99"/>
        <v>48.913105744534619</v>
      </c>
      <c r="K172" s="9">
        <f t="shared" si="100"/>
        <v>-6.0359012715033646</v>
      </c>
      <c r="L172" s="9">
        <f t="shared" si="101"/>
        <v>-0.1053463505130459</v>
      </c>
      <c r="M172" s="11">
        <f t="shared" si="91"/>
        <v>4.2245997569510196E-2</v>
      </c>
      <c r="O172" s="15">
        <f t="shared" si="102"/>
        <v>0.87171008399881533</v>
      </c>
      <c r="P172" s="15">
        <f t="shared" si="103"/>
        <v>49.945308772126594</v>
      </c>
      <c r="Q172" s="15">
        <v>-6.0359012715033602</v>
      </c>
      <c r="R172" s="15">
        <f t="shared" si="104"/>
        <v>-0.10534635051304582</v>
      </c>
      <c r="S172" s="16">
        <f t="shared" si="92"/>
        <v>2.1257684160105317E-3</v>
      </c>
      <c r="U172" s="23">
        <f t="shared" si="121"/>
        <v>0.86565843817457422</v>
      </c>
      <c r="V172" s="23">
        <f t="shared" si="105"/>
        <v>49.598575007289611</v>
      </c>
      <c r="W172" s="23">
        <f t="shared" si="106"/>
        <v>7.0061878225905483E-3</v>
      </c>
      <c r="X172" s="23">
        <f t="shared" si="122"/>
        <v>4.5443324278192136E-2</v>
      </c>
      <c r="Y172" s="23">
        <f t="shared" si="123"/>
        <v>-6.7894439252702554E-3</v>
      </c>
      <c r="Z172" s="26">
        <f t="shared" si="107"/>
        <v>-0.10486507698193902</v>
      </c>
      <c r="AA172" s="23">
        <f t="shared" si="108"/>
        <v>-6.0083263293795826</v>
      </c>
      <c r="AB172" s="24">
        <f t="shared" si="124"/>
        <v>6.7242813400578694E-3</v>
      </c>
      <c r="AD172" s="33">
        <f t="shared" si="125"/>
        <v>0.8737120583851814</v>
      </c>
      <c r="AE172" s="33">
        <f t="shared" si="109"/>
        <v>50.060013455158661</v>
      </c>
      <c r="AF172" s="33">
        <f t="shared" si="110"/>
        <v>-1.0474323880166336E-3</v>
      </c>
      <c r="AG172" s="33">
        <f t="shared" si="126"/>
        <v>5.3754045519638097E-2</v>
      </c>
      <c r="AH172" s="33">
        <f t="shared" si="127"/>
        <v>1.0150289492694142E-3</v>
      </c>
      <c r="AI172" s="35">
        <f t="shared" si="93"/>
        <v>-0.10541830140798927</v>
      </c>
      <c r="AJ172" s="33">
        <f t="shared" si="111"/>
        <v>-6.0400237541158095</v>
      </c>
      <c r="AK172" s="37">
        <f t="shared" si="128"/>
        <v>-1.0052870748051834E-3</v>
      </c>
      <c r="AM172" s="41">
        <f t="shared" si="112"/>
        <v>-0.11082908702095881</v>
      </c>
      <c r="AN172" s="41">
        <f t="shared" si="113"/>
        <v>-6.3500389335890697</v>
      </c>
      <c r="AO172" s="42">
        <f t="shared" si="114"/>
        <v>0.11082908702095881</v>
      </c>
      <c r="AP172" s="41">
        <f t="shared" si="129"/>
        <v>-0.32092483840459324</v>
      </c>
      <c r="AQ172" s="41">
        <f t="shared" si="130"/>
        <v>-0.10400364003289031</v>
      </c>
      <c r="AR172" s="43">
        <f t="shared" si="94"/>
        <v>1.0042872301766979</v>
      </c>
      <c r="AS172" s="41">
        <f t="shared" si="95"/>
        <v>57.541419708008235</v>
      </c>
      <c r="AU172" s="48">
        <f t="shared" si="131"/>
        <v>0.10335015946175349</v>
      </c>
      <c r="AV172" s="48">
        <f t="shared" si="115"/>
        <v>5.9215279491625266</v>
      </c>
      <c r="AW172" s="49">
        <f t="shared" si="116"/>
        <v>0.90093707071494433</v>
      </c>
      <c r="AX172" s="48">
        <f t="shared" si="132"/>
        <v>-0.89422860920543756</v>
      </c>
      <c r="AY172" s="48">
        <f t="shared" si="133"/>
        <v>-0.91076707187941475</v>
      </c>
      <c r="AZ172" s="50">
        <f t="shared" si="117"/>
        <v>-8.8630876596164643E-3</v>
      </c>
      <c r="BA172" s="48">
        <f t="shared" si="118"/>
        <v>-0.50781751635050576</v>
      </c>
      <c r="BB172" s="52">
        <f t="shared" si="134"/>
        <v>-6.6655120430777037E-2</v>
      </c>
      <c r="BC172" s="44">
        <f t="shared" si="119"/>
        <v>0.10335015946175349</v>
      </c>
    </row>
    <row r="173" spans="4:55" x14ac:dyDescent="0.3">
      <c r="D173">
        <f t="shared" si="120"/>
        <v>1.7100000000000013</v>
      </c>
      <c r="F173" s="5">
        <f t="shared" si="96"/>
        <v>0.85330140863449788</v>
      </c>
      <c r="G173" s="6">
        <f t="shared" si="97"/>
        <v>48.890569367324751</v>
      </c>
      <c r="I173" s="9">
        <f t="shared" si="98"/>
        <v>0.85411720259397661</v>
      </c>
      <c r="J173" s="9">
        <f t="shared" si="99"/>
        <v>48.937310918155148</v>
      </c>
      <c r="K173" s="9">
        <f t="shared" si="100"/>
        <v>-6.0359012715033646</v>
      </c>
      <c r="L173" s="9">
        <f t="shared" si="101"/>
        <v>-0.1053463505130459</v>
      </c>
      <c r="M173" s="11">
        <f t="shared" si="91"/>
        <v>4.1305177705203588E-2</v>
      </c>
      <c r="O173" s="15">
        <f t="shared" si="102"/>
        <v>0.87173134168297539</v>
      </c>
      <c r="P173" s="15">
        <f t="shared" si="103"/>
        <v>49.946526747711189</v>
      </c>
      <c r="Q173" s="15">
        <v>-6.0359012715033602</v>
      </c>
      <c r="R173" s="15">
        <f t="shared" si="104"/>
        <v>-0.10534635051304582</v>
      </c>
      <c r="S173" s="16">
        <f t="shared" si="92"/>
        <v>2.0784274779868106E-3</v>
      </c>
      <c r="U173" s="23">
        <f t="shared" si="121"/>
        <v>0.86572568098797475</v>
      </c>
      <c r="V173" s="23">
        <f t="shared" si="105"/>
        <v>49.602427736700044</v>
      </c>
      <c r="W173" s="23">
        <f t="shared" si="106"/>
        <v>6.9389450091900118E-3</v>
      </c>
      <c r="X173" s="23">
        <f t="shared" si="122"/>
        <v>4.5512713728284034E-2</v>
      </c>
      <c r="Y173" s="23">
        <f t="shared" si="123"/>
        <v>-6.7242813400536505E-3</v>
      </c>
      <c r="Z173" s="26">
        <f t="shared" si="107"/>
        <v>-0.10486969606824782</v>
      </c>
      <c r="AA173" s="23">
        <f t="shared" si="108"/>
        <v>-6.0085909835302838</v>
      </c>
      <c r="AB173" s="24">
        <f t="shared" si="124"/>
        <v>6.6597441613773789E-3</v>
      </c>
      <c r="AD173" s="33">
        <f t="shared" si="125"/>
        <v>0.87370200551443333</v>
      </c>
      <c r="AE173" s="33">
        <f t="shared" si="109"/>
        <v>50.05943746809281</v>
      </c>
      <c r="AF173" s="33">
        <f t="shared" si="110"/>
        <v>-1.0373795172685663E-3</v>
      </c>
      <c r="AG173" s="33">
        <f t="shared" si="126"/>
        <v>5.3743671724465411E-2</v>
      </c>
      <c r="AH173" s="33">
        <f t="shared" si="127"/>
        <v>1.0052870748067377E-3</v>
      </c>
      <c r="AI173" s="35">
        <f t="shared" si="93"/>
        <v>-0.10541761084976772</v>
      </c>
      <c r="AJ173" s="33">
        <f t="shared" si="111"/>
        <v>-6.0399841880442064</v>
      </c>
      <c r="AK173" s="37">
        <f t="shared" si="128"/>
        <v>-9.9563869926977411E-4</v>
      </c>
      <c r="AM173" s="41">
        <f t="shared" si="112"/>
        <v>-0.10979558542634127</v>
      </c>
      <c r="AN173" s="41">
        <f t="shared" si="113"/>
        <v>-6.2908236540974443</v>
      </c>
      <c r="AO173" s="42">
        <f t="shared" si="114"/>
        <v>0.10979558542634127</v>
      </c>
      <c r="AP173" s="41">
        <f t="shared" si="129"/>
        <v>-0.31982688255032982</v>
      </c>
      <c r="AQ173" s="41">
        <f t="shared" si="130"/>
        <v>-0.10335015946175419</v>
      </c>
      <c r="AR173" s="43">
        <f t="shared" si="94"/>
        <v>0.9946056948016585</v>
      </c>
      <c r="AS173" s="41">
        <f t="shared" si="95"/>
        <v>56.986708591811876</v>
      </c>
      <c r="AU173" s="48">
        <f t="shared" si="131"/>
        <v>0.10268360825744573</v>
      </c>
      <c r="AV173" s="48">
        <f t="shared" si="115"/>
        <v>5.8833373783263294</v>
      </c>
      <c r="AW173" s="49">
        <f t="shared" si="116"/>
        <v>0.89192208654421279</v>
      </c>
      <c r="AX173" s="48">
        <f t="shared" si="132"/>
        <v>-0.8853093883399954</v>
      </c>
      <c r="AY173" s="48">
        <f t="shared" si="133"/>
        <v>-0.90149841707315437</v>
      </c>
      <c r="AZ173" s="50">
        <f t="shared" si="117"/>
        <v>-8.7179043230690145E-3</v>
      </c>
      <c r="BA173" s="48">
        <f t="shared" si="118"/>
        <v>-0.49949912391070944</v>
      </c>
      <c r="BB173" s="52">
        <f t="shared" si="134"/>
        <v>-6.7849047616860642E-2</v>
      </c>
      <c r="BC173" s="44">
        <f t="shared" si="119"/>
        <v>0.10268360825744573</v>
      </c>
    </row>
    <row r="174" spans="4:55" x14ac:dyDescent="0.3">
      <c r="D174">
        <f t="shared" si="120"/>
        <v>1.7200000000000013</v>
      </c>
      <c r="F174" s="5">
        <f t="shared" si="96"/>
        <v>0.85372786198140738</v>
      </c>
      <c r="G174" s="6">
        <f t="shared" si="97"/>
        <v>48.915003344261891</v>
      </c>
      <c r="I174" s="9">
        <f t="shared" si="98"/>
        <v>0.8545302543710287</v>
      </c>
      <c r="J174" s="9">
        <f t="shared" si="99"/>
        <v>48.960977041700609</v>
      </c>
      <c r="K174" s="9">
        <f t="shared" si="100"/>
        <v>-6.0359012715033646</v>
      </c>
      <c r="L174" s="9">
        <f t="shared" si="101"/>
        <v>-0.1053463505130459</v>
      </c>
      <c r="M174" s="11">
        <f t="shared" si="91"/>
        <v>4.0385309932645441E-2</v>
      </c>
      <c r="O174" s="15">
        <f t="shared" si="102"/>
        <v>0.87175212595775531</v>
      </c>
      <c r="P174" s="15">
        <f t="shared" si="103"/>
        <v>49.947717598936315</v>
      </c>
      <c r="Q174" s="15">
        <v>-6.0359012715033602</v>
      </c>
      <c r="R174" s="15">
        <f t="shared" si="104"/>
        <v>-0.10534635051304582</v>
      </c>
      <c r="S174" s="16">
        <f t="shared" si="92"/>
        <v>2.0321408243315631E-3</v>
      </c>
      <c r="U174" s="23">
        <f t="shared" si="121"/>
        <v>0.8657922784295885</v>
      </c>
      <c r="V174" s="23">
        <f t="shared" si="105"/>
        <v>49.606243489030881</v>
      </c>
      <c r="W174" s="23">
        <f t="shared" si="106"/>
        <v>6.8723475675762646E-3</v>
      </c>
      <c r="X174" s="23">
        <f t="shared" si="122"/>
        <v>4.5581437203959796E-2</v>
      </c>
      <c r="Y174" s="23">
        <f t="shared" si="123"/>
        <v>-6.6597441613747144E-3</v>
      </c>
      <c r="Z174" s="26">
        <f t="shared" si="107"/>
        <v>-0.10487427082226525</v>
      </c>
      <c r="AA174" s="23">
        <f t="shared" si="108"/>
        <v>-6.0088530976277923</v>
      </c>
      <c r="AB174" s="24">
        <f t="shared" si="124"/>
        <v>6.5958263867935685E-3</v>
      </c>
      <c r="AD174" s="33">
        <f t="shared" si="125"/>
        <v>0.87369204912744058</v>
      </c>
      <c r="AE174" s="33">
        <f t="shared" si="109"/>
        <v>50.058867009138922</v>
      </c>
      <c r="AF174" s="33">
        <f t="shared" si="110"/>
        <v>-1.0274231302758174E-3</v>
      </c>
      <c r="AG174" s="33">
        <f t="shared" si="126"/>
        <v>5.3733397493162652E-2</v>
      </c>
      <c r="AH174" s="33">
        <f t="shared" si="127"/>
        <v>9.9563869927488113E-4</v>
      </c>
      <c r="AI174" s="35">
        <f t="shared" si="93"/>
        <v>-0.10541692691927004</v>
      </c>
      <c r="AJ174" s="33">
        <f t="shared" si="111"/>
        <v>-6.0399450017132086</v>
      </c>
      <c r="AK174" s="37">
        <f t="shared" si="128"/>
        <v>-9.860829252914538E-4</v>
      </c>
      <c r="AM174" s="41">
        <f t="shared" si="112"/>
        <v>-0.10876874934376682</v>
      </c>
      <c r="AN174" s="41">
        <f t="shared" si="113"/>
        <v>-6.2319902803141813</v>
      </c>
      <c r="AO174" s="42">
        <f t="shared" si="114"/>
        <v>0.10876874934376682</v>
      </c>
      <c r="AP174" s="41">
        <f t="shared" si="129"/>
        <v>-0.31873919505689213</v>
      </c>
      <c r="AQ174" s="41">
        <f t="shared" si="130"/>
        <v>-0.10268360825744505</v>
      </c>
      <c r="AR174" s="43">
        <f t="shared" si="94"/>
        <v>0.98500388518022308</v>
      </c>
      <c r="AS174" s="41">
        <f t="shared" si="95"/>
        <v>56.43656542481552</v>
      </c>
      <c r="AU174" s="48">
        <f t="shared" si="131"/>
        <v>0.10200511778127712</v>
      </c>
      <c r="AV174" s="48">
        <f t="shared" si="115"/>
        <v>5.844462737602047</v>
      </c>
      <c r="AW174" s="49">
        <f t="shared" si="116"/>
        <v>0.88299876739894601</v>
      </c>
      <c r="AX174" s="48">
        <f t="shared" si="132"/>
        <v>-0.87647940066600594</v>
      </c>
      <c r="AY174" s="48">
        <f t="shared" si="133"/>
        <v>-0.89233191452667837</v>
      </c>
      <c r="AZ174" s="50">
        <f t="shared" si="117"/>
        <v>-8.577073893246745E-3</v>
      </c>
      <c r="BA174" s="48">
        <f t="shared" si="118"/>
        <v>-0.49143013465488011</v>
      </c>
      <c r="BB174" s="52">
        <f t="shared" si="134"/>
        <v>-6.8936083672151094E-2</v>
      </c>
      <c r="BC174" s="44">
        <f t="shared" si="119"/>
        <v>0.10200511778127712</v>
      </c>
    </row>
    <row r="175" spans="4:55" x14ac:dyDescent="0.3">
      <c r="D175">
        <f t="shared" si="120"/>
        <v>1.7300000000000013</v>
      </c>
      <c r="F175" s="5">
        <f t="shared" si="96"/>
        <v>0.85414492316720614</v>
      </c>
      <c r="G175" s="6">
        <f t="shared" si="97"/>
        <v>48.938899190006886</v>
      </c>
      <c r="I175" s="9">
        <f t="shared" si="98"/>
        <v>0.85493410747035514</v>
      </c>
      <c r="J175" s="9">
        <f t="shared" si="99"/>
        <v>48.984116119835292</v>
      </c>
      <c r="K175" s="9">
        <f t="shared" si="100"/>
        <v>-6.0359012715033646</v>
      </c>
      <c r="L175" s="9">
        <f t="shared" si="101"/>
        <v>-0.1053463505130459</v>
      </c>
      <c r="M175" s="11">
        <f t="shared" si="91"/>
        <v>3.9485927648009289E-2</v>
      </c>
      <c r="O175" s="15">
        <f t="shared" si="102"/>
        <v>0.87177244736599857</v>
      </c>
      <c r="P175" s="15">
        <f t="shared" si="103"/>
        <v>49.948881929862416</v>
      </c>
      <c r="Q175" s="15">
        <v>-6.0359012715033602</v>
      </c>
      <c r="R175" s="15">
        <f t="shared" si="104"/>
        <v>-0.10534635051304582</v>
      </c>
      <c r="S175" s="16">
        <f t="shared" si="92"/>
        <v>1.9868849760953378E-3</v>
      </c>
      <c r="U175" s="23">
        <f t="shared" si="121"/>
        <v>0.86585823669345641</v>
      </c>
      <c r="V175" s="23">
        <f t="shared" si="105"/>
        <v>49.610022619174522</v>
      </c>
      <c r="W175" s="23">
        <f t="shared" si="106"/>
        <v>6.80638930370836E-3</v>
      </c>
      <c r="X175" s="23">
        <f t="shared" si="122"/>
        <v>4.5649501096996878E-2</v>
      </c>
      <c r="Y175" s="23">
        <f t="shared" si="123"/>
        <v>-6.5958263867904598E-3</v>
      </c>
      <c r="Z175" s="26">
        <f t="shared" si="107"/>
        <v>-0.10487880166947652</v>
      </c>
      <c r="AA175" s="23">
        <f t="shared" si="108"/>
        <v>-6.0091126960506172</v>
      </c>
      <c r="AB175" s="24">
        <f t="shared" si="124"/>
        <v>6.5325220714973486E-3</v>
      </c>
      <c r="AD175" s="33">
        <f t="shared" si="125"/>
        <v>0.87368218829818767</v>
      </c>
      <c r="AE175" s="33">
        <f t="shared" si="109"/>
        <v>50.058302025240231</v>
      </c>
      <c r="AF175" s="33">
        <f t="shared" si="110"/>
        <v>-1.0175623010229007E-3</v>
      </c>
      <c r="AG175" s="33">
        <f t="shared" si="126"/>
        <v>5.3723221870152424E-2</v>
      </c>
      <c r="AH175" s="33">
        <f t="shared" si="127"/>
        <v>9.8608292529167585E-4</v>
      </c>
      <c r="AI175" s="35">
        <f t="shared" si="93"/>
        <v>-0.1054162495528855</v>
      </c>
      <c r="AJ175" s="33">
        <f t="shared" si="111"/>
        <v>-6.0399061914781909</v>
      </c>
      <c r="AK175" s="37">
        <f t="shared" si="128"/>
        <v>-9.7661886411981591E-4</v>
      </c>
      <c r="AM175" s="41">
        <f t="shared" si="112"/>
        <v>-0.10774869816595405</v>
      </c>
      <c r="AN175" s="41">
        <f t="shared" si="113"/>
        <v>-6.1735456529381603</v>
      </c>
      <c r="AO175" s="42">
        <f t="shared" si="114"/>
        <v>0.10774869816595405</v>
      </c>
      <c r="AP175" s="41">
        <f t="shared" si="129"/>
        <v>-0.31766170807523259</v>
      </c>
      <c r="AQ175" s="41">
        <f t="shared" si="130"/>
        <v>-0.10200511778127724</v>
      </c>
      <c r="AR175" s="43">
        <f t="shared" si="94"/>
        <v>0.97548186387826319</v>
      </c>
      <c r="AS175" s="41">
        <f t="shared" si="95"/>
        <v>55.89099379177955</v>
      </c>
      <c r="AU175" s="48">
        <f t="shared" si="131"/>
        <v>0.10131575694455561</v>
      </c>
      <c r="AV175" s="48">
        <f t="shared" si="115"/>
        <v>5.8049652710962976</v>
      </c>
      <c r="AW175" s="49">
        <f t="shared" si="116"/>
        <v>0.87416610693370755</v>
      </c>
      <c r="AX175" s="48">
        <f t="shared" si="132"/>
        <v>-0.86773773959666889</v>
      </c>
      <c r="AY175" s="48">
        <f t="shared" si="133"/>
        <v>-0.88326604652384511</v>
      </c>
      <c r="AZ175" s="50">
        <f t="shared" si="117"/>
        <v>-8.4404044414581048E-3</v>
      </c>
      <c r="BA175" s="48">
        <f t="shared" si="118"/>
        <v>-0.48359955187902431</v>
      </c>
      <c r="BB175" s="52">
        <f t="shared" si="134"/>
        <v>-6.992214976231248E-2</v>
      </c>
      <c r="BC175" s="44">
        <f t="shared" si="119"/>
        <v>0.10131575694455561</v>
      </c>
    </row>
    <row r="176" spans="4:55" x14ac:dyDescent="0.3">
      <c r="D176">
        <f t="shared" si="120"/>
        <v>1.7400000000000013</v>
      </c>
      <c r="F176" s="5">
        <f t="shared" si="96"/>
        <v>0.85455279904380665</v>
      </c>
      <c r="G176" s="6">
        <f t="shared" si="97"/>
        <v>48.962268756301292</v>
      </c>
      <c r="I176" s="9">
        <f t="shared" si="98"/>
        <v>0.85532896674683523</v>
      </c>
      <c r="J176" s="9">
        <f t="shared" si="99"/>
        <v>49.006739889879192</v>
      </c>
      <c r="K176" s="9">
        <f t="shared" si="100"/>
        <v>-6.0359012715033646</v>
      </c>
      <c r="L176" s="9">
        <f t="shared" si="101"/>
        <v>-0.1053463505130459</v>
      </c>
      <c r="M176" s="11">
        <f t="shared" si="91"/>
        <v>3.8606574638752056E-2</v>
      </c>
      <c r="O176" s="15">
        <f t="shared" si="102"/>
        <v>0.87179231621575948</v>
      </c>
      <c r="P176" s="15">
        <f t="shared" si="103"/>
        <v>49.950020331097498</v>
      </c>
      <c r="Q176" s="15">
        <v>-6.0359012715033602</v>
      </c>
      <c r="R176" s="15">
        <f t="shared" si="104"/>
        <v>-0.10534635051304582</v>
      </c>
      <c r="S176" s="16">
        <f t="shared" si="92"/>
        <v>1.9426369772048702E-3</v>
      </c>
      <c r="U176" s="23">
        <f t="shared" si="121"/>
        <v>0.86592356191417141</v>
      </c>
      <c r="V176" s="23">
        <f t="shared" si="105"/>
        <v>49.613765478617253</v>
      </c>
      <c r="W176" s="23">
        <f t="shared" si="106"/>
        <v>6.7410640829933532E-3</v>
      </c>
      <c r="X176" s="23">
        <f t="shared" si="122"/>
        <v>4.5716911737826813E-2</v>
      </c>
      <c r="Y176" s="23">
        <f t="shared" si="123"/>
        <v>-6.5325220715006793E-3</v>
      </c>
      <c r="Z176" s="26">
        <f t="shared" si="107"/>
        <v>-0.10488328903128283</v>
      </c>
      <c r="AA176" s="23">
        <f t="shared" si="108"/>
        <v>-6.0093698029432669</v>
      </c>
      <c r="AB176" s="24">
        <f t="shared" si="124"/>
        <v>6.4698253277286621E-3</v>
      </c>
      <c r="AD176" s="33">
        <f t="shared" si="125"/>
        <v>0.87367242210954643</v>
      </c>
      <c r="AE176" s="33">
        <f t="shared" si="109"/>
        <v>50.057742463849159</v>
      </c>
      <c r="AF176" s="33">
        <f t="shared" si="110"/>
        <v>-1.0077961123816648E-3</v>
      </c>
      <c r="AG176" s="33">
        <f t="shared" si="126"/>
        <v>5.3713143909028607E-2</v>
      </c>
      <c r="AH176" s="33">
        <f t="shared" si="127"/>
        <v>9.7661886412359067E-4</v>
      </c>
      <c r="AI176" s="35">
        <f t="shared" si="93"/>
        <v>-0.1054155786876145</v>
      </c>
      <c r="AJ176" s="33">
        <f t="shared" si="111"/>
        <v>-6.0398677537295402</v>
      </c>
      <c r="AK176" s="37">
        <f t="shared" si="128"/>
        <v>-9.6724563552252896E-4</v>
      </c>
      <c r="AM176" s="41">
        <f t="shared" si="112"/>
        <v>-0.10673554059650849</v>
      </c>
      <c r="AN176" s="41">
        <f t="shared" si="113"/>
        <v>-6.1154960002271972</v>
      </c>
      <c r="AO176" s="42">
        <f t="shared" si="114"/>
        <v>0.10673554059650849</v>
      </c>
      <c r="AP176" s="41">
        <f t="shared" si="129"/>
        <v>-0.3165943526692675</v>
      </c>
      <c r="AQ176" s="41">
        <f t="shared" si="130"/>
        <v>-0.10131575694455608</v>
      </c>
      <c r="AR176" s="43">
        <f t="shared" si="94"/>
        <v>0.96603964902052886</v>
      </c>
      <c r="AS176" s="41">
        <f t="shared" si="95"/>
        <v>55.349994731175656</v>
      </c>
      <c r="AU176" s="48">
        <f t="shared" si="131"/>
        <v>0.10061653544693248</v>
      </c>
      <c r="AV176" s="48">
        <f t="shared" si="115"/>
        <v>5.7649028303376753</v>
      </c>
      <c r="AW176" s="49">
        <f t="shared" si="116"/>
        <v>0.86542311357359636</v>
      </c>
      <c r="AX176" s="48">
        <f t="shared" si="132"/>
        <v>-0.85908350846093295</v>
      </c>
      <c r="AY176" s="48">
        <f t="shared" si="133"/>
        <v>-0.87429933601111953</v>
      </c>
      <c r="AZ176" s="50">
        <f t="shared" si="117"/>
        <v>-8.3077135452712114E-3</v>
      </c>
      <c r="BA176" s="48">
        <f t="shared" si="118"/>
        <v>-0.47599692354770679</v>
      </c>
      <c r="BB176" s="52">
        <f t="shared" si="134"/>
        <v>-7.0812859817164758E-2</v>
      </c>
      <c r="BC176" s="44">
        <f t="shared" si="119"/>
        <v>0.10061653544693248</v>
      </c>
    </row>
    <row r="177" spans="4:55" x14ac:dyDescent="0.3">
      <c r="D177">
        <f t="shared" si="120"/>
        <v>1.7500000000000013</v>
      </c>
      <c r="F177" s="5">
        <f t="shared" si="96"/>
        <v>0.85495169190743769</v>
      </c>
      <c r="G177" s="6">
        <f t="shared" si="97"/>
        <v>48.985123633865236</v>
      </c>
      <c r="I177" s="9">
        <f t="shared" si="98"/>
        <v>0.85571503249322278</v>
      </c>
      <c r="J177" s="9">
        <f t="shared" si="99"/>
        <v>49.028859827761771</v>
      </c>
      <c r="K177" s="9">
        <f t="shared" si="100"/>
        <v>-6.0359012715033646</v>
      </c>
      <c r="L177" s="9">
        <f t="shared" si="101"/>
        <v>-0.1053463505130459</v>
      </c>
      <c r="M177" s="11">
        <f t="shared" si="91"/>
        <v>3.7746804852201166E-2</v>
      </c>
      <c r="O177" s="15">
        <f t="shared" si="102"/>
        <v>0.87181174258553151</v>
      </c>
      <c r="P177" s="15">
        <f t="shared" si="103"/>
        <v>49.951133380096699</v>
      </c>
      <c r="Q177" s="15">
        <v>-6.0359012715033602</v>
      </c>
      <c r="R177" s="15">
        <f t="shared" si="104"/>
        <v>-0.10534635051304582</v>
      </c>
      <c r="S177" s="16">
        <f t="shared" si="92"/>
        <v>1.8993743828186194E-3</v>
      </c>
      <c r="U177" s="23">
        <f t="shared" si="121"/>
        <v>0.86598826016744868</v>
      </c>
      <c r="V177" s="23">
        <f t="shared" si="105"/>
        <v>49.617472415471909</v>
      </c>
      <c r="W177" s="23">
        <f t="shared" si="106"/>
        <v>6.676365829716091E-3</v>
      </c>
      <c r="X177" s="23">
        <f t="shared" si="122"/>
        <v>4.5783675396123977E-2</v>
      </c>
      <c r="Y177" s="23">
        <f t="shared" si="123"/>
        <v>-6.4698253277262197E-3</v>
      </c>
      <c r="Z177" s="26">
        <f t="shared" si="107"/>
        <v>-0.1048877333250415</v>
      </c>
      <c r="AA177" s="23">
        <f t="shared" si="108"/>
        <v>-6.0096244422185547</v>
      </c>
      <c r="AB177" s="24">
        <f t="shared" si="124"/>
        <v>6.4077303242482397E-3</v>
      </c>
      <c r="AD177" s="33">
        <f t="shared" si="125"/>
        <v>0.87366274965319124</v>
      </c>
      <c r="AE177" s="33">
        <f t="shared" si="109"/>
        <v>50.057188272922488</v>
      </c>
      <c r="AF177" s="33">
        <f t="shared" si="110"/>
        <v>-9.9812365602647279E-4</v>
      </c>
      <c r="AG177" s="33">
        <f t="shared" si="126"/>
        <v>5.3703162672468344E-2</v>
      </c>
      <c r="AH177" s="33">
        <f t="shared" si="127"/>
        <v>9.6724563551919829E-4</v>
      </c>
      <c r="AI177" s="35">
        <f t="shared" si="93"/>
        <v>-0.10541491426106134</v>
      </c>
      <c r="AJ177" s="33">
        <f t="shared" si="111"/>
        <v>-6.0398296848922479</v>
      </c>
      <c r="AK177" s="37">
        <f t="shared" si="128"/>
        <v>-9.5796236773049159E-4</v>
      </c>
      <c r="AM177" s="41">
        <f t="shared" si="112"/>
        <v>-0.10572937524203917</v>
      </c>
      <c r="AN177" s="41">
        <f t="shared" si="113"/>
        <v>-6.057846971923821</v>
      </c>
      <c r="AO177" s="42">
        <f t="shared" si="114"/>
        <v>0.10572937524203917</v>
      </c>
      <c r="AP177" s="41">
        <f t="shared" si="129"/>
        <v>-0.31553705891684708</v>
      </c>
      <c r="AQ177" s="41">
        <f t="shared" si="130"/>
        <v>-0.10061653544693183</v>
      </c>
      <c r="AR177" s="43">
        <f t="shared" si="94"/>
        <v>0.95667721697345975</v>
      </c>
      <c r="AS177" s="41">
        <f t="shared" si="95"/>
        <v>54.813566888900567</v>
      </c>
      <c r="AU177" s="48">
        <f t="shared" si="131"/>
        <v>9.9908406848760831E-2</v>
      </c>
      <c r="AV177" s="48">
        <f t="shared" si="115"/>
        <v>5.7243300503099244</v>
      </c>
      <c r="AW177" s="49">
        <f t="shared" si="116"/>
        <v>0.85676881012469897</v>
      </c>
      <c r="AX177" s="48">
        <f t="shared" si="132"/>
        <v>-0.85051582035968598</v>
      </c>
      <c r="AY177" s="48">
        <f t="shared" si="133"/>
        <v>-0.86543034488973936</v>
      </c>
      <c r="AZ177" s="50">
        <f t="shared" si="117"/>
        <v>-8.1788278055772712E-3</v>
      </c>
      <c r="BA177" s="48">
        <f t="shared" si="118"/>
        <v>-0.46861231462382225</v>
      </c>
      <c r="BB177" s="52">
        <f t="shared" si="134"/>
        <v>-7.1613536282040618E-2</v>
      </c>
      <c r="BC177" s="44">
        <f t="shared" si="119"/>
        <v>9.9908406848760831E-2</v>
      </c>
    </row>
    <row r="178" spans="4:55" x14ac:dyDescent="0.3">
      <c r="D178">
        <f t="shared" si="120"/>
        <v>1.7600000000000013</v>
      </c>
      <c r="F178" s="5">
        <f t="shared" si="96"/>
        <v>0.85534179959897838</v>
      </c>
      <c r="G178" s="6">
        <f t="shared" si="97"/>
        <v>49.007475158146114</v>
      </c>
      <c r="I178" s="9">
        <f t="shared" si="98"/>
        <v>0.85609250054174479</v>
      </c>
      <c r="J178" s="9">
        <f t="shared" si="99"/>
        <v>49.050487153843122</v>
      </c>
      <c r="K178" s="9">
        <f t="shared" si="100"/>
        <v>-6.0359012715033646</v>
      </c>
      <c r="L178" s="9">
        <f t="shared" si="101"/>
        <v>-0.1053463505130459</v>
      </c>
      <c r="M178" s="11">
        <f t="shared" si="91"/>
        <v>3.6906182169291979E-2</v>
      </c>
      <c r="O178" s="15">
        <f t="shared" si="102"/>
        <v>0.8718307363293597</v>
      </c>
      <c r="P178" s="15">
        <f t="shared" si="103"/>
        <v>49.952221641455203</v>
      </c>
      <c r="Q178" s="15">
        <v>-6.0359012715033602</v>
      </c>
      <c r="R178" s="15">
        <f t="shared" si="104"/>
        <v>-0.10534635051304582</v>
      </c>
      <c r="S178" s="16">
        <f t="shared" si="92"/>
        <v>1.8570752479436514E-3</v>
      </c>
      <c r="U178" s="23">
        <f t="shared" si="121"/>
        <v>0.86605233747069121</v>
      </c>
      <c r="V178" s="23">
        <f t="shared" si="105"/>
        <v>49.621143774510287</v>
      </c>
      <c r="W178" s="23">
        <f t="shared" si="106"/>
        <v>6.6122885264735531E-3</v>
      </c>
      <c r="X178" s="23">
        <f t="shared" si="122"/>
        <v>4.5849798281388715E-2</v>
      </c>
      <c r="Y178" s="23">
        <f t="shared" si="123"/>
        <v>-6.4077303242537909E-3</v>
      </c>
      <c r="Z178" s="26">
        <f t="shared" si="107"/>
        <v>-0.10489213496410327</v>
      </c>
      <c r="AA178" s="23">
        <f t="shared" si="108"/>
        <v>-6.0098766375597341</v>
      </c>
      <c r="AB178" s="24">
        <f t="shared" si="124"/>
        <v>6.3462312857622827E-3</v>
      </c>
      <c r="AD178" s="33">
        <f t="shared" si="125"/>
        <v>0.87365317002951393</v>
      </c>
      <c r="AE178" s="33">
        <f t="shared" si="109"/>
        <v>50.056639400916453</v>
      </c>
      <c r="AF178" s="33">
        <f t="shared" si="110"/>
        <v>-9.88544032349159E-4</v>
      </c>
      <c r="AG178" s="33">
        <f t="shared" si="126"/>
        <v>5.369327723214485E-2</v>
      </c>
      <c r="AH178" s="33">
        <f t="shared" si="127"/>
        <v>9.5796236773137977E-4</v>
      </c>
      <c r="AI178" s="35">
        <f t="shared" si="93"/>
        <v>-0.10541425621143004</v>
      </c>
      <c r="AJ178" s="33">
        <f t="shared" si="111"/>
        <v>-6.0397919814256644</v>
      </c>
      <c r="AK178" s="37">
        <f t="shared" si="128"/>
        <v>-9.4876819732325757E-4</v>
      </c>
      <c r="AM178" s="41">
        <f t="shared" si="112"/>
        <v>-0.10473029117355157</v>
      </c>
      <c r="AN178" s="41">
        <f t="shared" si="113"/>
        <v>-6.0006036714207225</v>
      </c>
      <c r="AO178" s="42">
        <f t="shared" si="114"/>
        <v>0.10473029117355157</v>
      </c>
      <c r="AP178" s="41">
        <f t="shared" si="129"/>
        <v>-0.31448975600511159</v>
      </c>
      <c r="AQ178" s="41">
        <f t="shared" si="130"/>
        <v>-9.9908406848760178E-2</v>
      </c>
      <c r="AR178" s="43">
        <f t="shared" si="94"/>
        <v>0.94739450488675558</v>
      </c>
      <c r="AS178" s="41">
        <f t="shared" si="95"/>
        <v>54.281706663897339</v>
      </c>
      <c r="AU178" s="48">
        <f t="shared" si="131"/>
        <v>9.9192271485940425E-2</v>
      </c>
      <c r="AV178" s="48">
        <f t="shared" si="115"/>
        <v>5.683298516460245</v>
      </c>
      <c r="AW178" s="49">
        <f t="shared" si="116"/>
        <v>0.84820223340081513</v>
      </c>
      <c r="AX178" s="48">
        <f t="shared" si="132"/>
        <v>-0.84203379802567779</v>
      </c>
      <c r="AY178" s="48">
        <f t="shared" si="133"/>
        <v>-0.85665767238838342</v>
      </c>
      <c r="AZ178" s="50">
        <f t="shared" si="117"/>
        <v>-8.0535823883327584E-3</v>
      </c>
      <c r="BA178" s="48">
        <f t="shared" si="118"/>
        <v>-0.46143628081235666</v>
      </c>
      <c r="BB178" s="52">
        <f t="shared" si="134"/>
        <v>-7.2329225063085895E-2</v>
      </c>
      <c r="BC178" s="44">
        <f t="shared" si="119"/>
        <v>9.9192271485940425E-2</v>
      </c>
    </row>
    <row r="179" spans="4:55" x14ac:dyDescent="0.3">
      <c r="D179">
        <f t="shared" si="120"/>
        <v>1.7700000000000014</v>
      </c>
      <c r="F179" s="5">
        <f t="shared" si="96"/>
        <v>0.85572331560208226</v>
      </c>
      <c r="G179" s="6">
        <f t="shared" si="97"/>
        <v>49.029334414940664</v>
      </c>
      <c r="I179" s="9">
        <f t="shared" si="98"/>
        <v>0.85646156236343773</v>
      </c>
      <c r="J179" s="9">
        <f t="shared" si="99"/>
        <v>49.071632838605531</v>
      </c>
      <c r="K179" s="9">
        <f t="shared" si="100"/>
        <v>-6.0359012715033646</v>
      </c>
      <c r="L179" s="9">
        <f t="shared" si="101"/>
        <v>-0.1053463505130459</v>
      </c>
      <c r="M179" s="11">
        <f t="shared" si="91"/>
        <v>3.6084280183347417E-2</v>
      </c>
      <c r="O179" s="15">
        <f t="shared" si="102"/>
        <v>0.87184930708183916</v>
      </c>
      <c r="P179" s="15">
        <f t="shared" si="103"/>
        <v>49.953285667194656</v>
      </c>
      <c r="Q179" s="15">
        <v>-6.0359012715033602</v>
      </c>
      <c r="R179" s="15">
        <f t="shared" si="104"/>
        <v>-0.10534635051304582</v>
      </c>
      <c r="S179" s="16">
        <f t="shared" si="92"/>
        <v>1.8157181163027669E-3</v>
      </c>
      <c r="U179" s="23">
        <f t="shared" si="121"/>
        <v>0.8661157997835488</v>
      </c>
      <c r="V179" s="23">
        <f t="shared" si="105"/>
        <v>49.624779897195168</v>
      </c>
      <c r="W179" s="23">
        <f t="shared" si="106"/>
        <v>6.5488262136159658E-3</v>
      </c>
      <c r="X179" s="23">
        <f t="shared" si="122"/>
        <v>4.5915286543524877E-2</v>
      </c>
      <c r="Y179" s="23">
        <f t="shared" si="123"/>
        <v>-6.34623128575873E-3</v>
      </c>
      <c r="Z179" s="26">
        <f t="shared" si="107"/>
        <v>-0.10489649435785289</v>
      </c>
      <c r="AA179" s="23">
        <f t="shared" si="108"/>
        <v>-6.0101264124228235</v>
      </c>
      <c r="AB179" s="24">
        <f t="shared" si="124"/>
        <v>6.2853224924317441E-3</v>
      </c>
      <c r="AD179" s="33">
        <f t="shared" si="125"/>
        <v>0.87364368234754064</v>
      </c>
      <c r="AE179" s="33">
        <f t="shared" si="109"/>
        <v>50.056095796782017</v>
      </c>
      <c r="AF179" s="33">
        <f t="shared" si="110"/>
        <v>-9.7905635037587313E-4</v>
      </c>
      <c r="AG179" s="33">
        <f t="shared" si="126"/>
        <v>5.3683486668641089E-2</v>
      </c>
      <c r="AH179" s="33">
        <f t="shared" si="127"/>
        <v>9.4876819732858664E-4</v>
      </c>
      <c r="AI179" s="35">
        <f t="shared" si="93"/>
        <v>-0.10541360447751708</v>
      </c>
      <c r="AJ179" s="33">
        <f t="shared" si="111"/>
        <v>-6.0397546398230855</v>
      </c>
      <c r="AK179" s="37">
        <f t="shared" si="128"/>
        <v>-9.3966226918107409E-4</v>
      </c>
      <c r="AM179" s="41">
        <f t="shared" si="112"/>
        <v>-0.10373836845869217</v>
      </c>
      <c r="AN179" s="41">
        <f t="shared" si="113"/>
        <v>-5.9437706862561202</v>
      </c>
      <c r="AO179" s="42">
        <f t="shared" si="114"/>
        <v>0.10373836845869217</v>
      </c>
      <c r="AP179" s="41">
        <f t="shared" si="129"/>
        <v>-0.31345237232052464</v>
      </c>
      <c r="AQ179" s="41">
        <f t="shared" si="130"/>
        <v>-9.9192271485940009E-2</v>
      </c>
      <c r="AR179" s="43">
        <f t="shared" si="94"/>
        <v>0.93819141310098153</v>
      </c>
      <c r="AS179" s="41">
        <f t="shared" si="95"/>
        <v>53.754408346100973</v>
      </c>
      <c r="AU179" s="48">
        <f t="shared" si="131"/>
        <v>9.8468979235309562E-2</v>
      </c>
      <c r="AV179" s="48">
        <f t="shared" si="115"/>
        <v>5.6418569231445783</v>
      </c>
      <c r="AW179" s="49">
        <f t="shared" si="116"/>
        <v>0.83972243386567191</v>
      </c>
      <c r="AX179" s="48">
        <f t="shared" si="132"/>
        <v>-0.83363657368702104</v>
      </c>
      <c r="AY179" s="48">
        <f t="shared" si="133"/>
        <v>-0.84797995351432176</v>
      </c>
      <c r="AZ179" s="50">
        <f t="shared" si="117"/>
        <v>-7.9318205897301319E-3</v>
      </c>
      <c r="BA179" s="48">
        <f t="shared" si="118"/>
        <v>-0.45445984364650427</v>
      </c>
      <c r="BB179" s="52">
        <f t="shared" si="134"/>
        <v>-7.2964709707518394E-2</v>
      </c>
      <c r="BC179" s="44">
        <f t="shared" si="119"/>
        <v>9.8468979235309562E-2</v>
      </c>
    </row>
    <row r="180" spans="4:55" x14ac:dyDescent="0.3">
      <c r="D180">
        <f t="shared" si="120"/>
        <v>1.7800000000000014</v>
      </c>
      <c r="F180" s="5">
        <f t="shared" si="96"/>
        <v>0.85609642913914064</v>
      </c>
      <c r="G180" s="6">
        <f t="shared" si="97"/>
        <v>49.050712245893308</v>
      </c>
      <c r="I180" s="9">
        <f t="shared" si="98"/>
        <v>0.85682240516527119</v>
      </c>
      <c r="J180" s="9">
        <f t="shared" si="99"/>
        <v>49.092307608218263</v>
      </c>
      <c r="K180" s="9">
        <f t="shared" si="100"/>
        <v>-6.0359012715033646</v>
      </c>
      <c r="L180" s="9">
        <f t="shared" si="101"/>
        <v>-0.1053463505130459</v>
      </c>
      <c r="M180" s="11">
        <f t="shared" si="91"/>
        <v>3.5280681983782092E-2</v>
      </c>
      <c r="O180" s="15">
        <f t="shared" si="102"/>
        <v>0.87186746426300221</v>
      </c>
      <c r="P180" s="15">
        <f t="shared" si="103"/>
        <v>49.954325997043156</v>
      </c>
      <c r="Q180" s="15">
        <v>-6.0359012715033602</v>
      </c>
      <c r="R180" s="15">
        <f t="shared" si="104"/>
        <v>-0.10534635051304582</v>
      </c>
      <c r="S180" s="16">
        <f t="shared" si="92"/>
        <v>1.7752820094505406E-3</v>
      </c>
      <c r="U180" s="23">
        <f t="shared" si="121"/>
        <v>0.86617865300847308</v>
      </c>
      <c r="V180" s="23">
        <f t="shared" si="105"/>
        <v>49.628381121712117</v>
      </c>
      <c r="W180" s="23">
        <f t="shared" si="106"/>
        <v>6.4859729886916906E-3</v>
      </c>
      <c r="X180" s="23">
        <f t="shared" si="122"/>
        <v>4.5980146273411793E-2</v>
      </c>
      <c r="Y180" s="23">
        <f t="shared" si="123"/>
        <v>-6.2853224924275253E-3</v>
      </c>
      <c r="Z180" s="26">
        <f t="shared" si="107"/>
        <v>-0.10490081191174483</v>
      </c>
      <c r="AA180" s="23">
        <f t="shared" si="108"/>
        <v>-6.0103737900386518</v>
      </c>
      <c r="AB180" s="24">
        <f t="shared" si="124"/>
        <v>6.2249982792907943E-3</v>
      </c>
      <c r="AD180" s="33">
        <f t="shared" si="125"/>
        <v>0.8736342857248488</v>
      </c>
      <c r="AE180" s="33">
        <f t="shared" si="109"/>
        <v>50.055557409960102</v>
      </c>
      <c r="AF180" s="33">
        <f t="shared" si="110"/>
        <v>-9.6965972768403574E-4</v>
      </c>
      <c r="AG180" s="33">
        <f t="shared" si="126"/>
        <v>5.3673790071364247E-2</v>
      </c>
      <c r="AH180" s="33">
        <f t="shared" si="127"/>
        <v>9.3966226918373863E-4</v>
      </c>
      <c r="AI180" s="35">
        <f t="shared" si="93"/>
        <v>-0.10541295899870634</v>
      </c>
      <c r="AJ180" s="33">
        <f t="shared" si="111"/>
        <v>-6.0397176566114661</v>
      </c>
      <c r="AK180" s="37">
        <f t="shared" si="128"/>
        <v>-9.3064373638940268E-4</v>
      </c>
      <c r="AM180" s="41">
        <f t="shared" si="112"/>
        <v>-0.10275367866633907</v>
      </c>
      <c r="AN180" s="41">
        <f t="shared" si="113"/>
        <v>-5.8873521170246743</v>
      </c>
      <c r="AO180" s="42">
        <f t="shared" si="114"/>
        <v>0.10275367866633907</v>
      </c>
      <c r="AP180" s="41">
        <f t="shared" si="129"/>
        <v>-0.31242483553386124</v>
      </c>
      <c r="AQ180" s="41">
        <f t="shared" si="130"/>
        <v>-9.8468979235309673E-2</v>
      </c>
      <c r="AR180" s="43">
        <f t="shared" si="94"/>
        <v>0.92906780742808093</v>
      </c>
      <c r="AS180" s="41">
        <f t="shared" si="95"/>
        <v>53.231664247102152</v>
      </c>
      <c r="AU180" s="48">
        <f t="shared" si="131"/>
        <v>9.773933213823438E-2</v>
      </c>
      <c r="AV180" s="48">
        <f t="shared" si="115"/>
        <v>5.6000512239481983</v>
      </c>
      <c r="AW180" s="49">
        <f t="shared" si="116"/>
        <v>0.83132847528984655</v>
      </c>
      <c r="AX180" s="48">
        <f t="shared" si="132"/>
        <v>-0.82532328893412255</v>
      </c>
      <c r="AY180" s="48">
        <f t="shared" si="133"/>
        <v>-0.83939585758253665</v>
      </c>
      <c r="AZ180" s="50">
        <f t="shared" si="117"/>
        <v>-7.8133934235353197E-3</v>
      </c>
      <c r="BA180" s="48">
        <f t="shared" si="118"/>
        <v>-0.44767446684384715</v>
      </c>
      <c r="BB180" s="52">
        <f t="shared" si="134"/>
        <v>-7.3524524859159585E-2</v>
      </c>
      <c r="BC180" s="44">
        <f t="shared" si="119"/>
        <v>9.773933213823438E-2</v>
      </c>
    </row>
    <row r="181" spans="4:55" x14ac:dyDescent="0.3">
      <c r="D181">
        <f t="shared" si="120"/>
        <v>1.7900000000000014</v>
      </c>
      <c r="F181" s="5">
        <f t="shared" si="96"/>
        <v>0.85646132526513163</v>
      </c>
      <c r="G181" s="6">
        <f t="shared" si="97"/>
        <v>49.071619253873266</v>
      </c>
      <c r="I181" s="9">
        <f t="shared" si="98"/>
        <v>0.85717521198510904</v>
      </c>
      <c r="J181" s="9">
        <f t="shared" si="99"/>
        <v>49.112521949978408</v>
      </c>
      <c r="K181" s="9">
        <f t="shared" si="100"/>
        <v>-6.0359012715033646</v>
      </c>
      <c r="L181" s="9">
        <f t="shared" si="101"/>
        <v>-0.1053463505130459</v>
      </c>
      <c r="M181" s="11">
        <f t="shared" si="91"/>
        <v>3.4494979944624582E-2</v>
      </c>
      <c r="O181" s="15">
        <f t="shared" si="102"/>
        <v>0.87188521708309674</v>
      </c>
      <c r="P181" s="15">
        <f t="shared" si="103"/>
        <v>49.955343158709027</v>
      </c>
      <c r="Q181" s="15">
        <v>-6.0359012715033602</v>
      </c>
      <c r="R181" s="15">
        <f t="shared" si="104"/>
        <v>-0.10534635051304582</v>
      </c>
      <c r="S181" s="16">
        <f t="shared" si="92"/>
        <v>1.7357464161324998E-3</v>
      </c>
      <c r="U181" s="23">
        <f t="shared" si="121"/>
        <v>0.86624090299126599</v>
      </c>
      <c r="V181" s="23">
        <f t="shared" si="105"/>
        <v>49.631947783000911</v>
      </c>
      <c r="W181" s="23">
        <f t="shared" si="106"/>
        <v>6.4237230058987738E-3</v>
      </c>
      <c r="X181" s="23">
        <f t="shared" si="122"/>
        <v>4.604438350347078E-2</v>
      </c>
      <c r="Y181" s="23">
        <f t="shared" si="123"/>
        <v>-6.2249982792916825E-3</v>
      </c>
      <c r="Z181" s="26">
        <f t="shared" si="107"/>
        <v>-0.10490508802734265</v>
      </c>
      <c r="AA181" s="23">
        <f t="shared" si="108"/>
        <v>-6.0106187934151167</v>
      </c>
      <c r="AB181" s="24">
        <f t="shared" si="124"/>
        <v>6.1652530357541035E-3</v>
      </c>
      <c r="AD181" s="33">
        <f t="shared" si="125"/>
        <v>0.87362497928748495</v>
      </c>
      <c r="AE181" s="33">
        <f t="shared" si="109"/>
        <v>50.055024190376848</v>
      </c>
      <c r="AF181" s="33">
        <f t="shared" si="110"/>
        <v>-9.6035329032018169E-4</v>
      </c>
      <c r="AG181" s="33">
        <f t="shared" si="126"/>
        <v>5.3664186538461042E-2</v>
      </c>
      <c r="AH181" s="33">
        <f t="shared" si="127"/>
        <v>9.3064373638540587E-4</v>
      </c>
      <c r="AI181" s="35">
        <f t="shared" si="93"/>
        <v>-0.10541231971496365</v>
      </c>
      <c r="AJ181" s="33">
        <f t="shared" si="111"/>
        <v>-6.0396810283510982</v>
      </c>
      <c r="AK181" s="37">
        <f t="shared" si="128"/>
        <v>-9.2171176015964917E-4</v>
      </c>
      <c r="AM181" s="41">
        <f t="shared" si="112"/>
        <v>-0.10177628534495672</v>
      </c>
      <c r="AN181" s="41">
        <f t="shared" si="113"/>
        <v>-5.8313516047851923</v>
      </c>
      <c r="AO181" s="42">
        <f t="shared" si="114"/>
        <v>0.10177628534495672</v>
      </c>
      <c r="AP181" s="41">
        <f t="shared" si="129"/>
        <v>-0.31140707268041168</v>
      </c>
      <c r="AQ181" s="41">
        <f t="shared" si="130"/>
        <v>-9.7739332138234436E-2</v>
      </c>
      <c r="AR181" s="43">
        <f t="shared" si="94"/>
        <v>0.9200235213113328</v>
      </c>
      <c r="AS181" s="41">
        <f t="shared" si="95"/>
        <v>52.71346482390372</v>
      </c>
      <c r="AU181" s="48">
        <f t="shared" si="131"/>
        <v>9.7004086889642779E-2</v>
      </c>
      <c r="AV181" s="48">
        <f t="shared" si="115"/>
        <v>5.5579247742968523</v>
      </c>
      <c r="AW181" s="49">
        <f t="shared" si="116"/>
        <v>0.82301943442169001</v>
      </c>
      <c r="AX181" s="48">
        <f t="shared" si="132"/>
        <v>-0.81709309458990564</v>
      </c>
      <c r="AY181" s="48">
        <f t="shared" si="133"/>
        <v>-0.83090408681565364</v>
      </c>
      <c r="AZ181" s="50">
        <f t="shared" si="117"/>
        <v>-7.6981592294904644E-3</v>
      </c>
      <c r="BA181" s="48">
        <f t="shared" si="118"/>
        <v>-0.44107203386948535</v>
      </c>
      <c r="BB181" s="52">
        <f t="shared" si="134"/>
        <v>-7.4012969025699926E-2</v>
      </c>
      <c r="BC181" s="44">
        <f t="shared" si="119"/>
        <v>9.7004086889642779E-2</v>
      </c>
    </row>
    <row r="182" spans="4:55" x14ac:dyDescent="0.3">
      <c r="D182">
        <f t="shared" si="120"/>
        <v>1.8000000000000014</v>
      </c>
      <c r="F182" s="5">
        <f t="shared" si="96"/>
        <v>0.85681818495940321</v>
      </c>
      <c r="G182" s="6">
        <f t="shared" si="97"/>
        <v>49.092065808233357</v>
      </c>
      <c r="I182" s="9">
        <f t="shared" si="98"/>
        <v>0.85752016178455526</v>
      </c>
      <c r="J182" s="9">
        <f t="shared" si="99"/>
        <v>49.132286117630564</v>
      </c>
      <c r="K182" s="9">
        <f t="shared" si="100"/>
        <v>-6.0359012715033646</v>
      </c>
      <c r="L182" s="9">
        <f t="shared" si="101"/>
        <v>-0.1053463505130459</v>
      </c>
      <c r="M182" s="11">
        <f t="shared" si="91"/>
        <v>3.3726775517746832E-2</v>
      </c>
      <c r="O182" s="15">
        <f t="shared" si="102"/>
        <v>0.87190257454725806</v>
      </c>
      <c r="P182" s="15">
        <f t="shared" si="103"/>
        <v>49.956337668148521</v>
      </c>
      <c r="Q182" s="15">
        <v>-6.0359012715033602</v>
      </c>
      <c r="R182" s="15">
        <f t="shared" si="104"/>
        <v>-0.10534635051304582</v>
      </c>
      <c r="S182" s="16">
        <f t="shared" si="92"/>
        <v>1.6970912818794481E-3</v>
      </c>
      <c r="U182" s="23">
        <f t="shared" si="121"/>
        <v>0.8663025555216235</v>
      </c>
      <c r="V182" s="23">
        <f t="shared" si="105"/>
        <v>49.635480212786696</v>
      </c>
      <c r="W182" s="23">
        <f t="shared" si="106"/>
        <v>6.3620704755412705E-3</v>
      </c>
      <c r="X182" s="23">
        <f t="shared" si="122"/>
        <v>4.6108004208226194E-2</v>
      </c>
      <c r="Y182" s="23">
        <f t="shared" si="123"/>
        <v>-6.1652530357503288E-3</v>
      </c>
      <c r="Z182" s="26">
        <f t="shared" si="107"/>
        <v>-0.10490932310235618</v>
      </c>
      <c r="AA182" s="23">
        <f t="shared" si="108"/>
        <v>-6.0108614453393132</v>
      </c>
      <c r="AB182" s="24">
        <f t="shared" si="124"/>
        <v>6.1060812050901525E-3</v>
      </c>
      <c r="AD182" s="33">
        <f t="shared" si="125"/>
        <v>0.87361576216988335</v>
      </c>
      <c r="AE182" s="33">
        <f t="shared" si="109"/>
        <v>50.054496088439002</v>
      </c>
      <c r="AF182" s="33">
        <f t="shared" si="110"/>
        <v>-9.5113617271858075E-4</v>
      </c>
      <c r="AG182" s="33">
        <f t="shared" si="126"/>
        <v>5.3654675176733856E-2</v>
      </c>
      <c r="AH182" s="33">
        <f t="shared" si="127"/>
        <v>9.2171176016009326E-4</v>
      </c>
      <c r="AI182" s="35">
        <f t="shared" si="93"/>
        <v>-0.10541168656683135</v>
      </c>
      <c r="AJ182" s="33">
        <f t="shared" si="111"/>
        <v>-6.0396447516353104</v>
      </c>
      <c r="AK182" s="37">
        <f t="shared" si="128"/>
        <v>-9.1286550974900571E-4</v>
      </c>
      <c r="AM182" s="41">
        <f t="shared" si="112"/>
        <v>-0.10080624447606029</v>
      </c>
      <c r="AN182" s="41">
        <f t="shared" si="113"/>
        <v>-5.7757723570422232</v>
      </c>
      <c r="AO182" s="42">
        <f t="shared" si="114"/>
        <v>0.10080624447606029</v>
      </c>
      <c r="AP182" s="41">
        <f t="shared" si="129"/>
        <v>-0.31039901023565108</v>
      </c>
      <c r="AQ182" s="41">
        <f t="shared" si="130"/>
        <v>-9.7004086889643237E-2</v>
      </c>
      <c r="AR182" s="43">
        <f t="shared" si="94"/>
        <v>0.91105835787095957</v>
      </c>
      <c r="AS182" s="41">
        <f t="shared" si="95"/>
        <v>52.19979879612535</v>
      </c>
      <c r="AU182" s="48">
        <f t="shared" si="131"/>
        <v>9.6263957199385783E-2</v>
      </c>
      <c r="AV182" s="48">
        <f t="shared" si="115"/>
        <v>5.5155184667528019</v>
      </c>
      <c r="AW182" s="49">
        <f t="shared" si="116"/>
        <v>0.81479440067157383</v>
      </c>
      <c r="AX182" s="48">
        <f t="shared" si="132"/>
        <v>-0.80894515058318994</v>
      </c>
      <c r="AY182" s="48">
        <f t="shared" si="133"/>
        <v>-0.82250337501161841</v>
      </c>
      <c r="AZ182" s="50">
        <f t="shared" si="117"/>
        <v>-7.5859833017096756E-3</v>
      </c>
      <c r="BA182" s="48">
        <f t="shared" si="118"/>
        <v>-0.43464482664468185</v>
      </c>
      <c r="BB182" s="52">
        <f t="shared" si="134"/>
        <v>-7.4434116692806085E-2</v>
      </c>
      <c r="BC182" s="44">
        <f t="shared" si="119"/>
        <v>9.6263957199385783E-2</v>
      </c>
    </row>
    <row r="183" spans="4:55" x14ac:dyDescent="0.3">
      <c r="D183">
        <f t="shared" si="120"/>
        <v>1.8100000000000014</v>
      </c>
      <c r="F183" s="5">
        <f t="shared" si="96"/>
        <v>0.85716718521543434</v>
      </c>
      <c r="G183" s="6">
        <f t="shared" si="97"/>
        <v>49.112062049952925</v>
      </c>
      <c r="I183" s="9">
        <f t="shared" si="98"/>
        <v>0.85785742953973276</v>
      </c>
      <c r="J183" s="9">
        <f t="shared" si="99"/>
        <v>49.151610136568081</v>
      </c>
      <c r="K183" s="9">
        <f t="shared" si="100"/>
        <v>-6.0359012715033646</v>
      </c>
      <c r="L183" s="9">
        <f t="shared" si="101"/>
        <v>-0.1053463505130459</v>
      </c>
      <c r="M183" s="11">
        <f t="shared" si="91"/>
        <v>3.2975679030703642E-2</v>
      </c>
      <c r="O183" s="15">
        <f t="shared" si="102"/>
        <v>0.87191954546007688</v>
      </c>
      <c r="P183" s="15">
        <f t="shared" si="103"/>
        <v>49.957310029827525</v>
      </c>
      <c r="Q183" s="15">
        <v>-6.0359012715033602</v>
      </c>
      <c r="R183" s="15">
        <f t="shared" si="104"/>
        <v>-0.10534635051304582</v>
      </c>
      <c r="S183" s="16">
        <f t="shared" si="92"/>
        <v>1.6592969988371564E-3</v>
      </c>
      <c r="U183" s="23">
        <f t="shared" si="121"/>
        <v>0.86636361633367442</v>
      </c>
      <c r="V183" s="23">
        <f t="shared" si="105"/>
        <v>49.638978739610856</v>
      </c>
      <c r="W183" s="23">
        <f t="shared" si="106"/>
        <v>6.3010096634903423E-3</v>
      </c>
      <c r="X183" s="23">
        <f t="shared" si="122"/>
        <v>4.6171014304861098E-2</v>
      </c>
      <c r="Y183" s="23">
        <f t="shared" si="123"/>
        <v>-6.106081205092817E-3</v>
      </c>
      <c r="Z183" s="26">
        <f t="shared" si="107"/>
        <v>-0.10491351753067742</v>
      </c>
      <c r="AA183" s="23">
        <f t="shared" si="108"/>
        <v>-6.0111017683795902</v>
      </c>
      <c r="AB183" s="24">
        <f t="shared" si="124"/>
        <v>6.0474772838852164E-3</v>
      </c>
      <c r="AD183" s="33">
        <f t="shared" si="125"/>
        <v>0.87360663351478585</v>
      </c>
      <c r="AE183" s="33">
        <f t="shared" si="109"/>
        <v>50.053973055029282</v>
      </c>
      <c r="AF183" s="33">
        <f t="shared" si="110"/>
        <v>-9.4200751762107959E-4</v>
      </c>
      <c r="AG183" s="33">
        <f t="shared" si="126"/>
        <v>5.3645255101557647E-2</v>
      </c>
      <c r="AH183" s="33">
        <f t="shared" si="127"/>
        <v>9.1286550975011593E-4</v>
      </c>
      <c r="AI183" s="35">
        <f t="shared" si="93"/>
        <v>-0.10541105949542189</v>
      </c>
      <c r="AJ183" s="33">
        <f t="shared" si="111"/>
        <v>-6.0396088230900951</v>
      </c>
      <c r="AK183" s="37">
        <f t="shared" si="128"/>
        <v>-9.0410416239583569E-4</v>
      </c>
      <c r="AM183" s="41">
        <f t="shared" si="112"/>
        <v>-9.9843604904066435E-2</v>
      </c>
      <c r="AN183" s="41">
        <f t="shared" si="113"/>
        <v>-5.7206171723746957</v>
      </c>
      <c r="AO183" s="42">
        <f t="shared" si="114"/>
        <v>9.9843604904066435E-2</v>
      </c>
      <c r="AP183" s="41">
        <f t="shared" si="129"/>
        <v>-0.30940057418661043</v>
      </c>
      <c r="AQ183" s="41">
        <f t="shared" si="130"/>
        <v>-9.626395719938563E-2</v>
      </c>
      <c r="AR183" s="43">
        <f t="shared" si="94"/>
        <v>0.90217209184127867</v>
      </c>
      <c r="AS183" s="41">
        <f t="shared" si="95"/>
        <v>51.69065325699416</v>
      </c>
      <c r="AU183" s="48">
        <f t="shared" si="131"/>
        <v>9.5519616032457719E-2</v>
      </c>
      <c r="AV183" s="48">
        <f t="shared" si="115"/>
        <v>5.4728708593699809</v>
      </c>
      <c r="AW183" s="49">
        <f t="shared" si="116"/>
        <v>0.80665247580882093</v>
      </c>
      <c r="AX183" s="48">
        <f t="shared" si="132"/>
        <v>-0.80087862582510172</v>
      </c>
      <c r="AY183" s="48">
        <f t="shared" si="133"/>
        <v>-0.81419248627528917</v>
      </c>
      <c r="AZ183" s="50">
        <f t="shared" si="117"/>
        <v>-7.4767375360619837E-3</v>
      </c>
      <c r="BA183" s="48">
        <f t="shared" si="118"/>
        <v>-0.42838550534339381</v>
      </c>
      <c r="BB183" s="52">
        <f t="shared" si="134"/>
        <v>-7.4791829818171146E-2</v>
      </c>
      <c r="BC183" s="44">
        <f t="shared" si="119"/>
        <v>9.5519616032457719E-2</v>
      </c>
    </row>
    <row r="184" spans="4:55" x14ac:dyDescent="0.3">
      <c r="D184">
        <f t="shared" si="120"/>
        <v>1.8200000000000014</v>
      </c>
      <c r="F184" s="5">
        <f t="shared" si="96"/>
        <v>0.85750849912861915</v>
      </c>
      <c r="G184" s="6">
        <f t="shared" si="97"/>
        <v>49.131617896667507</v>
      </c>
      <c r="I184" s="9">
        <f t="shared" si="98"/>
        <v>0.85818718633003976</v>
      </c>
      <c r="J184" s="9">
        <f t="shared" si="99"/>
        <v>49.170503808918454</v>
      </c>
      <c r="K184" s="9">
        <f t="shared" si="100"/>
        <v>-6.0359012715033646</v>
      </c>
      <c r="L184" s="9">
        <f t="shared" si="101"/>
        <v>-0.1053463505130459</v>
      </c>
      <c r="M184" s="11">
        <f t="shared" si="91"/>
        <v>3.2241309489067449E-2</v>
      </c>
      <c r="O184" s="15">
        <f t="shared" si="102"/>
        <v>0.87193613843006523</v>
      </c>
      <c r="P184" s="15">
        <f t="shared" si="103"/>
        <v>49.958260736977444</v>
      </c>
      <c r="Q184" s="15">
        <v>-6.0359012715033602</v>
      </c>
      <c r="R184" s="15">
        <f t="shared" si="104"/>
        <v>-0.10534635051304582</v>
      </c>
      <c r="S184" s="16">
        <f t="shared" si="92"/>
        <v>1.6223443958194306E-3</v>
      </c>
      <c r="U184" s="23">
        <f t="shared" si="121"/>
        <v>0.86642409110651331</v>
      </c>
      <c r="V184" s="23">
        <f t="shared" si="105"/>
        <v>49.64244368886154</v>
      </c>
      <c r="W184" s="23">
        <f t="shared" si="106"/>
        <v>6.2405348906514613E-3</v>
      </c>
      <c r="X184" s="23">
        <f t="shared" si="122"/>
        <v>4.6233419653767614E-2</v>
      </c>
      <c r="Y184" s="23">
        <f t="shared" si="123"/>
        <v>-6.047477283888103E-3</v>
      </c>
      <c r="Z184" s="26">
        <f t="shared" si="107"/>
        <v>-0.10491767170241871</v>
      </c>
      <c r="AA184" s="23">
        <f t="shared" si="108"/>
        <v>-6.0113397848877392</v>
      </c>
      <c r="AB184" s="24">
        <f t="shared" si="124"/>
        <v>5.9894358215601962E-3</v>
      </c>
      <c r="AD184" s="33">
        <f t="shared" si="125"/>
        <v>0.87359759247316193</v>
      </c>
      <c r="AE184" s="33">
        <f t="shared" si="109"/>
        <v>50.053455041501834</v>
      </c>
      <c r="AF184" s="33">
        <f t="shared" si="110"/>
        <v>-9.3296647599716565E-4</v>
      </c>
      <c r="AG184" s="33">
        <f t="shared" si="126"/>
        <v>5.3635925436797675E-2</v>
      </c>
      <c r="AH184" s="33">
        <f t="shared" si="127"/>
        <v>9.0410416239139479E-4</v>
      </c>
      <c r="AI184" s="35">
        <f t="shared" si="93"/>
        <v>-0.10541043844241298</v>
      </c>
      <c r="AJ184" s="33">
        <f t="shared" si="111"/>
        <v>-6.0395732393738308</v>
      </c>
      <c r="AK184" s="37">
        <f t="shared" si="128"/>
        <v>-8.954269032346307E-4</v>
      </c>
      <c r="AM184" s="41">
        <f t="shared" si="112"/>
        <v>-9.8888408743741857E-2</v>
      </c>
      <c r="AN184" s="41">
        <f t="shared" si="113"/>
        <v>-5.6658884637809956</v>
      </c>
      <c r="AO184" s="42">
        <f t="shared" si="114"/>
        <v>9.8888408743741857E-2</v>
      </c>
      <c r="AP184" s="41">
        <f t="shared" si="129"/>
        <v>-0.30841169009917302</v>
      </c>
      <c r="AQ184" s="41">
        <f t="shared" si="130"/>
        <v>-9.5519616032457844E-2</v>
      </c>
      <c r="AR184" s="43">
        <f t="shared" si="94"/>
        <v>0.89336447140496067</v>
      </c>
      <c r="AS184" s="41">
        <f t="shared" si="95"/>
        <v>51.186013778439964</v>
      </c>
      <c r="AU184" s="48">
        <f t="shared" si="131"/>
        <v>9.4771697734276003E-2</v>
      </c>
      <c r="AV184" s="48">
        <f t="shared" si="115"/>
        <v>5.4300182974635618</v>
      </c>
      <c r="AW184" s="49">
        <f t="shared" si="116"/>
        <v>0.79859277367068471</v>
      </c>
      <c r="AX184" s="48">
        <f t="shared" si="132"/>
        <v>-0.79289269808839491</v>
      </c>
      <c r="AY184" s="48">
        <f t="shared" si="133"/>
        <v>-0.80597021381362266</v>
      </c>
      <c r="AZ184" s="50">
        <f t="shared" si="117"/>
        <v>-7.3703000955114839E-3</v>
      </c>
      <c r="BA184" s="48">
        <f t="shared" si="118"/>
        <v>-0.42228708921767555</v>
      </c>
      <c r="BB184" s="52">
        <f t="shared" si="134"/>
        <v>-7.5089768738317852E-2</v>
      </c>
      <c r="BC184" s="44">
        <f t="shared" si="119"/>
        <v>9.4771697734276003E-2</v>
      </c>
    </row>
    <row r="185" spans="4:55" x14ac:dyDescent="0.3">
      <c r="D185">
        <f t="shared" si="120"/>
        <v>1.8300000000000014</v>
      </c>
      <c r="F185" s="5">
        <f t="shared" si="96"/>
        <v>0.85784229598211814</v>
      </c>
      <c r="G185" s="6">
        <f t="shared" si="97"/>
        <v>49.150743047587746</v>
      </c>
      <c r="I185" s="9">
        <f t="shared" si="98"/>
        <v>0.85850959942493044</v>
      </c>
      <c r="J185" s="9">
        <f t="shared" si="99"/>
        <v>49.188976718515441</v>
      </c>
      <c r="K185" s="9">
        <f t="shared" si="100"/>
        <v>-6.0359012715033646</v>
      </c>
      <c r="L185" s="9">
        <f t="shared" si="101"/>
        <v>-0.1053463505130459</v>
      </c>
      <c r="M185" s="11">
        <f t="shared" si="91"/>
        <v>3.1523294383171363E-2</v>
      </c>
      <c r="O185" s="15">
        <f t="shared" si="102"/>
        <v>0.87195236187402347</v>
      </c>
      <c r="P185" s="15">
        <f t="shared" si="103"/>
        <v>49.959190271845415</v>
      </c>
      <c r="Q185" s="15">
        <v>-6.0359012715033602</v>
      </c>
      <c r="R185" s="15">
        <f t="shared" si="104"/>
        <v>-0.10534635051304582</v>
      </c>
      <c r="S185" s="16">
        <f t="shared" si="92"/>
        <v>1.5862147285810035E-3</v>
      </c>
      <c r="U185" s="23">
        <f t="shared" si="121"/>
        <v>0.86648398546472893</v>
      </c>
      <c r="V185" s="23">
        <f t="shared" si="105"/>
        <v>49.645875382803936</v>
      </c>
      <c r="W185" s="23">
        <f t="shared" si="106"/>
        <v>6.1806405324358327E-3</v>
      </c>
      <c r="X185" s="23">
        <f t="shared" si="122"/>
        <v>4.6295226059091969E-2</v>
      </c>
      <c r="Y185" s="23">
        <f t="shared" si="123"/>
        <v>-5.9894358215628607E-3</v>
      </c>
      <c r="Z185" s="26">
        <f t="shared" si="107"/>
        <v>-0.10492178600394779</v>
      </c>
      <c r="AA185" s="23">
        <f t="shared" si="108"/>
        <v>-6.011575517000999</v>
      </c>
      <c r="AB185" s="24">
        <f t="shared" si="124"/>
        <v>5.9319514198379331E-3</v>
      </c>
      <c r="AD185" s="33">
        <f t="shared" si="125"/>
        <v>0.87358863820412958</v>
      </c>
      <c r="AE185" s="33">
        <f t="shared" si="109"/>
        <v>50.05294199967765</v>
      </c>
      <c r="AF185" s="33">
        <f t="shared" si="110"/>
        <v>-9.2401220696480824E-4</v>
      </c>
      <c r="AG185" s="33">
        <f t="shared" si="126"/>
        <v>5.3626685314728029E-2</v>
      </c>
      <c r="AH185" s="33">
        <f t="shared" si="127"/>
        <v>8.9542690323574092E-4</v>
      </c>
      <c r="AI185" s="35">
        <f t="shared" si="93"/>
        <v>-0.10540982335004262</v>
      </c>
      <c r="AJ185" s="33">
        <f t="shared" si="111"/>
        <v>-6.0395379971769989</v>
      </c>
      <c r="AK185" s="37">
        <f t="shared" si="128"/>
        <v>-8.8683292521096746E-4</v>
      </c>
      <c r="AM185" s="41">
        <f t="shared" si="112"/>
        <v>-9.7940691766399093E-2</v>
      </c>
      <c r="AN185" s="41">
        <f t="shared" si="113"/>
        <v>-5.6115882808063597</v>
      </c>
      <c r="AO185" s="42">
        <f t="shared" si="114"/>
        <v>9.7940691766399093E-2</v>
      </c>
      <c r="AP185" s="41">
        <f t="shared" si="129"/>
        <v>-0.307432283181509</v>
      </c>
      <c r="AQ185" s="41">
        <f t="shared" si="130"/>
        <v>-9.477169773427635E-2</v>
      </c>
      <c r="AR185" s="43">
        <f t="shared" si="94"/>
        <v>0.8846352199297145</v>
      </c>
      <c r="AS185" s="41">
        <f t="shared" si="95"/>
        <v>50.685864510600013</v>
      </c>
      <c r="AU185" s="48">
        <f t="shared" si="131"/>
        <v>9.4020800046892825E-2</v>
      </c>
      <c r="AV185" s="48">
        <f t="shared" si="115"/>
        <v>5.3869950291303716</v>
      </c>
      <c r="AW185" s="49">
        <f t="shared" si="116"/>
        <v>0.79061441988282166</v>
      </c>
      <c r="AX185" s="48">
        <f t="shared" si="132"/>
        <v>-0.78498655388956673</v>
      </c>
      <c r="AY185" s="48">
        <f t="shared" si="133"/>
        <v>-0.79783537878630462</v>
      </c>
      <c r="AZ185" s="50">
        <f t="shared" si="117"/>
        <v>-7.2665550925783418E-3</v>
      </c>
      <c r="BA185" s="48">
        <f t="shared" si="118"/>
        <v>-0.41634293840403419</v>
      </c>
      <c r="BB185" s="52">
        <f t="shared" si="134"/>
        <v>-7.5331402516661761E-2</v>
      </c>
      <c r="BC185" s="44">
        <f t="shared" si="119"/>
        <v>9.4020800046892825E-2</v>
      </c>
    </row>
    <row r="186" spans="4:55" x14ac:dyDescent="0.3">
      <c r="D186">
        <f t="shared" si="120"/>
        <v>1.8400000000000014</v>
      </c>
      <c r="F186" s="5">
        <f t="shared" si="96"/>
        <v>0.85816874133081822</v>
      </c>
      <c r="G186" s="6">
        <f t="shared" si="97"/>
        <v>49.169446988309936</v>
      </c>
      <c r="I186" s="9">
        <f t="shared" si="98"/>
        <v>0.85882483236876217</v>
      </c>
      <c r="J186" s="9">
        <f t="shared" si="99"/>
        <v>49.207038235760486</v>
      </c>
      <c r="K186" s="9">
        <f t="shared" si="100"/>
        <v>-6.0359012715033646</v>
      </c>
      <c r="L186" s="9">
        <f t="shared" si="101"/>
        <v>-0.1053463505130459</v>
      </c>
      <c r="M186" s="11">
        <f t="shared" si="91"/>
        <v>3.0821269499150539E-2</v>
      </c>
      <c r="O186" s="15">
        <f t="shared" si="102"/>
        <v>0.87196822402130925</v>
      </c>
      <c r="P186" s="15">
        <f t="shared" si="103"/>
        <v>49.960099105938909</v>
      </c>
      <c r="Q186" s="15">
        <v>-6.0359012715033602</v>
      </c>
      <c r="R186" s="15">
        <f t="shared" si="104"/>
        <v>-0.10534635051304582</v>
      </c>
      <c r="S186" s="16">
        <f t="shared" si="92"/>
        <v>1.5508896703138042E-3</v>
      </c>
      <c r="U186" s="23">
        <f t="shared" si="121"/>
        <v>0.86654330497892729</v>
      </c>
      <c r="V186" s="23">
        <f t="shared" si="105"/>
        <v>49.649274140610267</v>
      </c>
      <c r="W186" s="23">
        <f t="shared" si="106"/>
        <v>6.12132101823748E-3</v>
      </c>
      <c r="X186" s="23">
        <f t="shared" si="122"/>
        <v>4.6356439269274345E-2</v>
      </c>
      <c r="Y186" s="23">
        <f t="shared" si="123"/>
        <v>-5.9319514198352685E-3</v>
      </c>
      <c r="Z186" s="26">
        <f t="shared" si="107"/>
        <v>-0.10492586081792447</v>
      </c>
      <c r="AA186" s="23">
        <f t="shared" si="108"/>
        <v>-6.011808986644164</v>
      </c>
      <c r="AB186" s="24">
        <f t="shared" si="124"/>
        <v>5.8750187322620384E-3</v>
      </c>
      <c r="AD186" s="33">
        <f t="shared" si="125"/>
        <v>0.87357976987487751</v>
      </c>
      <c r="AE186" s="33">
        <f t="shared" si="109"/>
        <v>50.05243388184018</v>
      </c>
      <c r="AF186" s="33">
        <f t="shared" si="110"/>
        <v>-9.1514387771274297E-4</v>
      </c>
      <c r="AG186" s="33">
        <f t="shared" si="126"/>
        <v>5.3617533875950904E-2</v>
      </c>
      <c r="AH186" s="33">
        <f t="shared" si="127"/>
        <v>8.8683292520652657E-4</v>
      </c>
      <c r="AI186" s="35">
        <f t="shared" si="93"/>
        <v>-0.10540921416110235</v>
      </c>
      <c r="AJ186" s="33">
        <f t="shared" si="111"/>
        <v>-6.0395030932217955</v>
      </c>
      <c r="AK186" s="37">
        <f t="shared" si="128"/>
        <v>-8.7832142902999344E-4</v>
      </c>
      <c r="AM186" s="41">
        <f t="shared" si="112"/>
        <v>-9.7000483765930165E-2</v>
      </c>
      <c r="AN186" s="41">
        <f t="shared" si="113"/>
        <v>-5.5577183305150557</v>
      </c>
      <c r="AO186" s="42">
        <f t="shared" si="114"/>
        <v>9.7000483765930165E-2</v>
      </c>
      <c r="AP186" s="41">
        <f t="shared" si="129"/>
        <v>-0.3064622783438497</v>
      </c>
      <c r="AQ186" s="41">
        <f t="shared" si="130"/>
        <v>-9.4020800046892838E-2</v>
      </c>
      <c r="AR186" s="43">
        <f t="shared" si="94"/>
        <v>0.87598403761240884</v>
      </c>
      <c r="AS186" s="41">
        <f t="shared" si="95"/>
        <v>50.190188276020187</v>
      </c>
      <c r="AU186" s="48">
        <f t="shared" si="131"/>
        <v>9.3267486021726201E-2</v>
      </c>
      <c r="AV186" s="48">
        <f t="shared" si="115"/>
        <v>5.3438333148403121</v>
      </c>
      <c r="AW186" s="49">
        <f t="shared" si="116"/>
        <v>0.78271655159068265</v>
      </c>
      <c r="AX186" s="48">
        <f t="shared" si="132"/>
        <v>-0.77715938837365994</v>
      </c>
      <c r="AY186" s="48">
        <f t="shared" si="133"/>
        <v>-0.78978682921390098</v>
      </c>
      <c r="AZ186" s="50">
        <f t="shared" si="117"/>
        <v>-7.1653922879759135E-3</v>
      </c>
      <c r="BA186" s="48">
        <f t="shared" si="118"/>
        <v>-0.4105467366566084</v>
      </c>
      <c r="BB186" s="52">
        <f t="shared" si="134"/>
        <v>-7.5520018762706281E-2</v>
      </c>
      <c r="BC186" s="44">
        <f t="shared" si="119"/>
        <v>9.3267486021726201E-2</v>
      </c>
    </row>
    <row r="187" spans="4:55" x14ac:dyDescent="0.3">
      <c r="D187">
        <f t="shared" si="120"/>
        <v>1.8500000000000014</v>
      </c>
      <c r="F187" s="5">
        <f t="shared" si="96"/>
        <v>0.85848799708344414</v>
      </c>
      <c r="G187" s="6">
        <f t="shared" si="97"/>
        <v>49.187738995520675</v>
      </c>
      <c r="I187" s="9">
        <f t="shared" si="98"/>
        <v>0.85913304506375365</v>
      </c>
      <c r="J187" s="9">
        <f t="shared" si="99"/>
        <v>49.224697522375848</v>
      </c>
      <c r="K187" s="9">
        <f t="shared" si="100"/>
        <v>-6.0359012715033646</v>
      </c>
      <c r="L187" s="9">
        <f t="shared" si="101"/>
        <v>-0.1053463505130459</v>
      </c>
      <c r="M187" s="11">
        <f t="shared" si="91"/>
        <v>3.0134878734197512E-2</v>
      </c>
      <c r="O187" s="15">
        <f t="shared" si="102"/>
        <v>0.87198373291801234</v>
      </c>
      <c r="P187" s="15">
        <f t="shared" si="103"/>
        <v>49.960987700264901</v>
      </c>
      <c r="Q187" s="15">
        <v>-6.0359012715033602</v>
      </c>
      <c r="R187" s="15">
        <f t="shared" si="104"/>
        <v>-0.10534635051304582</v>
      </c>
      <c r="S187" s="16">
        <f t="shared" si="92"/>
        <v>1.5163513023472852E-3</v>
      </c>
      <c r="U187" s="23">
        <f t="shared" si="121"/>
        <v>0.86660205516624988</v>
      </c>
      <c r="V187" s="23">
        <f t="shared" si="105"/>
        <v>49.652640278389455</v>
      </c>
      <c r="W187" s="23">
        <f t="shared" si="106"/>
        <v>6.0625708309148818E-3</v>
      </c>
      <c r="X187" s="23">
        <f t="shared" si="122"/>
        <v>4.6417064977583494E-2</v>
      </c>
      <c r="Y187" s="23">
        <f t="shared" si="123"/>
        <v>-5.875018732259818E-3</v>
      </c>
      <c r="Z187" s="26">
        <f t="shared" si="107"/>
        <v>-0.10492989652333545</v>
      </c>
      <c r="AA187" s="23">
        <f t="shared" si="108"/>
        <v>-6.0120402155315711</v>
      </c>
      <c r="AB187" s="24">
        <f t="shared" si="124"/>
        <v>5.8186324636742004E-3</v>
      </c>
      <c r="AD187" s="33">
        <f t="shared" si="125"/>
        <v>0.87357098666058719</v>
      </c>
      <c r="AE187" s="33">
        <f t="shared" si="109"/>
        <v>50.051930640730781</v>
      </c>
      <c r="AF187" s="33">
        <f t="shared" si="110"/>
        <v>-9.0636066342242305E-4</v>
      </c>
      <c r="AG187" s="33">
        <f t="shared" si="126"/>
        <v>5.3608470269316678E-2</v>
      </c>
      <c r="AH187" s="33">
        <f t="shared" si="127"/>
        <v>8.7832142903199184E-4</v>
      </c>
      <c r="AI187" s="35">
        <f t="shared" si="93"/>
        <v>-0.10540861081893367</v>
      </c>
      <c r="AJ187" s="33">
        <f t="shared" si="111"/>
        <v>-6.0394685242619275</v>
      </c>
      <c r="AK187" s="37">
        <f t="shared" si="128"/>
        <v>-8.698916230545084E-4</v>
      </c>
      <c r="AM187" s="41">
        <f t="shared" si="112"/>
        <v>-9.6067808905712898E-2</v>
      </c>
      <c r="AN187" s="41">
        <f t="shared" si="113"/>
        <v>-5.5042799973666527</v>
      </c>
      <c r="AO187" s="42">
        <f t="shared" si="114"/>
        <v>9.6067808905712898E-2</v>
      </c>
      <c r="AP187" s="41">
        <f t="shared" si="129"/>
        <v>-0.30550160025479256</v>
      </c>
      <c r="AQ187" s="41">
        <f t="shared" si="130"/>
        <v>-9.3267486021726687E-2</v>
      </c>
      <c r="AR187" s="43">
        <f t="shared" si="94"/>
        <v>0.86741060303540229</v>
      </c>
      <c r="AS187" s="41">
        <f t="shared" si="95"/>
        <v>49.698966658826187</v>
      </c>
      <c r="AU187" s="48">
        <f t="shared" si="131"/>
        <v>9.2512285834099137E-2</v>
      </c>
      <c r="AV187" s="48">
        <f t="shared" si="115"/>
        <v>5.3005635314017931</v>
      </c>
      <c r="AW187" s="49">
        <f t="shared" si="116"/>
        <v>0.7748983172013032</v>
      </c>
      <c r="AX187" s="48">
        <f t="shared" si="132"/>
        <v>-0.76941040520164694</v>
      </c>
      <c r="AY187" s="48">
        <f t="shared" si="133"/>
        <v>-0.78182343893794526</v>
      </c>
      <c r="AZ187" s="50">
        <f t="shared" si="117"/>
        <v>-7.066706804622791E-3</v>
      </c>
      <c r="BA187" s="48">
        <f t="shared" si="118"/>
        <v>-0.40489247496126596</v>
      </c>
      <c r="BB187" s="52">
        <f t="shared" si="134"/>
        <v>-7.5658732948927138E-2</v>
      </c>
      <c r="BC187" s="44">
        <f t="shared" si="119"/>
        <v>9.2512285834099137E-2</v>
      </c>
    </row>
    <row r="188" spans="4:55" x14ac:dyDescent="0.3">
      <c r="D188">
        <f t="shared" si="120"/>
        <v>1.8600000000000014</v>
      </c>
      <c r="F188" s="5">
        <f t="shared" si="96"/>
        <v>0.85880022158286051</v>
      </c>
      <c r="G188" s="6">
        <f t="shared" si="97"/>
        <v>49.205628141597821</v>
      </c>
      <c r="I188" s="9">
        <f t="shared" si="98"/>
        <v>0.85943439385109566</v>
      </c>
      <c r="J188" s="9">
        <f t="shared" si="99"/>
        <v>49.241963536051934</v>
      </c>
      <c r="K188" s="9">
        <f t="shared" si="100"/>
        <v>-6.0359012715033646</v>
      </c>
      <c r="L188" s="9">
        <f t="shared" si="101"/>
        <v>-0.1053463505130459</v>
      </c>
      <c r="M188" s="11">
        <f t="shared" si="91"/>
        <v>2.9463773915925362E-2</v>
      </c>
      <c r="O188" s="15">
        <f t="shared" si="102"/>
        <v>0.87199889643103579</v>
      </c>
      <c r="P188" s="15">
        <f t="shared" si="103"/>
        <v>49.961856505563738</v>
      </c>
      <c r="Q188" s="15">
        <v>-6.0359012715033602</v>
      </c>
      <c r="R188" s="15">
        <f t="shared" si="104"/>
        <v>-0.10534635051304582</v>
      </c>
      <c r="S188" s="16">
        <f t="shared" si="92"/>
        <v>1.4825821050599153E-3</v>
      </c>
      <c r="U188" s="23">
        <f t="shared" si="121"/>
        <v>0.86666024149088661</v>
      </c>
      <c r="V188" s="23">
        <f t="shared" si="105"/>
        <v>49.655974109216523</v>
      </c>
      <c r="W188" s="23">
        <f t="shared" si="106"/>
        <v>6.0043845062781598E-3</v>
      </c>
      <c r="X188" s="23">
        <f t="shared" si="122"/>
        <v>4.6477108822646274E-2</v>
      </c>
      <c r="Y188" s="23">
        <f t="shared" si="123"/>
        <v>-5.818632463672202E-3</v>
      </c>
      <c r="Z188" s="26">
        <f t="shared" si="107"/>
        <v>-0.10493389349553051</v>
      </c>
      <c r="AA188" s="23">
        <f t="shared" si="108"/>
        <v>-6.0122692251691792</v>
      </c>
      <c r="AB188" s="24">
        <f t="shared" si="124"/>
        <v>5.762787369750999E-3</v>
      </c>
      <c r="AD188" s="33">
        <f t="shared" si="125"/>
        <v>0.87356228774435662</v>
      </c>
      <c r="AE188" s="33">
        <f t="shared" si="109"/>
        <v>50.051432229544432</v>
      </c>
      <c r="AF188" s="33">
        <f t="shared" si="110"/>
        <v>-8.9766174719185798E-4</v>
      </c>
      <c r="AG188" s="33">
        <f t="shared" si="126"/>
        <v>5.3599493651844757E-2</v>
      </c>
      <c r="AH188" s="33">
        <f t="shared" si="127"/>
        <v>8.698916230565068E-4</v>
      </c>
      <c r="AI188" s="35">
        <f t="shared" si="93"/>
        <v>-0.10540801326742108</v>
      </c>
      <c r="AJ188" s="33">
        <f t="shared" si="111"/>
        <v>-6.039434287082214</v>
      </c>
      <c r="AK188" s="37">
        <f t="shared" si="128"/>
        <v>-8.6154272325700276E-4</v>
      </c>
      <c r="AM188" s="41">
        <f t="shared" si="112"/>
        <v>-9.5142686047371902E-2</v>
      </c>
      <c r="AN188" s="41">
        <f t="shared" si="113"/>
        <v>-5.4512743620526347</v>
      </c>
      <c r="AO188" s="42">
        <f t="shared" si="114"/>
        <v>9.5142686047371902E-2</v>
      </c>
      <c r="AP188" s="41">
        <f t="shared" si="129"/>
        <v>-0.30455017339431883</v>
      </c>
      <c r="AQ188" s="41">
        <f t="shared" si="130"/>
        <v>-9.2512285834099595E-2</v>
      </c>
      <c r="AR188" s="43">
        <f t="shared" si="94"/>
        <v>0.8589145746396194</v>
      </c>
      <c r="AS188" s="41">
        <f t="shared" si="95"/>
        <v>49.212180089124523</v>
      </c>
      <c r="AU188" s="48">
        <f t="shared" si="131"/>
        <v>9.1755698504609864E-2</v>
      </c>
      <c r="AV188" s="48">
        <f t="shared" si="115"/>
        <v>5.2572142705889844</v>
      </c>
      <c r="AW188" s="49">
        <f t="shared" si="116"/>
        <v>0.76715887613500955</v>
      </c>
      <c r="AX188" s="48">
        <f t="shared" si="132"/>
        <v>-0.76173881644029684</v>
      </c>
      <c r="AY188" s="48">
        <f t="shared" si="133"/>
        <v>-0.77394410662936508</v>
      </c>
      <c r="AZ188" s="50">
        <f t="shared" si="117"/>
        <v>-6.9703988562785923E-3</v>
      </c>
      <c r="BA188" s="48">
        <f t="shared" si="118"/>
        <v>-0.39937443598757943</v>
      </c>
      <c r="BB188" s="52">
        <f t="shared" si="134"/>
        <v>-7.5750497250391458E-2</v>
      </c>
      <c r="BC188" s="44">
        <f t="shared" si="119"/>
        <v>9.1755698504609864E-2</v>
      </c>
    </row>
    <row r="189" spans="4:55" x14ac:dyDescent="0.3">
      <c r="D189">
        <f t="shared" si="120"/>
        <v>1.8700000000000014</v>
      </c>
      <c r="F189" s="5">
        <f t="shared" si="96"/>
        <v>0.8591055696846065</v>
      </c>
      <c r="G189" s="6">
        <f t="shared" si="97"/>
        <v>49.223123299110192</v>
      </c>
      <c r="I189" s="9">
        <f t="shared" si="98"/>
        <v>0.85972903159025493</v>
      </c>
      <c r="J189" s="9">
        <f t="shared" si="99"/>
        <v>49.258845034991033</v>
      </c>
      <c r="K189" s="9">
        <f t="shared" si="100"/>
        <v>-6.0359012715033646</v>
      </c>
      <c r="L189" s="9">
        <f t="shared" si="101"/>
        <v>-0.1053463505130459</v>
      </c>
      <c r="M189" s="11">
        <f t="shared" si="91"/>
        <v>2.8807614625760314E-2</v>
      </c>
      <c r="O189" s="15">
        <f t="shared" si="102"/>
        <v>0.8720137222520864</v>
      </c>
      <c r="P189" s="15">
        <f t="shared" si="103"/>
        <v>49.962705962537754</v>
      </c>
      <c r="Q189" s="15">
        <v>-6.0359012715033602</v>
      </c>
      <c r="R189" s="15">
        <f t="shared" si="104"/>
        <v>-0.10534635051304582</v>
      </c>
      <c r="S189" s="16">
        <f t="shared" si="92"/>
        <v>1.4495649489940643E-3</v>
      </c>
      <c r="U189" s="23">
        <f t="shared" si="121"/>
        <v>0.86671786936458417</v>
      </c>
      <c r="V189" s="23">
        <f t="shared" si="105"/>
        <v>49.659275943161703</v>
      </c>
      <c r="W189" s="23">
        <f t="shared" si="106"/>
        <v>5.9467566325805965E-3</v>
      </c>
      <c r="X189" s="23">
        <f t="shared" si="122"/>
        <v>4.653657638897208E-2</v>
      </c>
      <c r="Y189" s="23">
        <f t="shared" si="123"/>
        <v>-5.7627873697563281E-3</v>
      </c>
      <c r="Z189" s="26">
        <f t="shared" si="107"/>
        <v>-0.10493785210625657</v>
      </c>
      <c r="AA189" s="23">
        <f t="shared" si="108"/>
        <v>-6.0124960368565183</v>
      </c>
      <c r="AB189" s="24">
        <f t="shared" si="124"/>
        <v>5.7074782564918713E-3</v>
      </c>
      <c r="AD189" s="33">
        <f t="shared" si="125"/>
        <v>0.87355367231712411</v>
      </c>
      <c r="AE189" s="33">
        <f t="shared" si="109"/>
        <v>50.05093860192531</v>
      </c>
      <c r="AF189" s="33">
        <f t="shared" si="110"/>
        <v>-8.8904631995934125E-4</v>
      </c>
      <c r="AG189" s="33">
        <f t="shared" si="126"/>
        <v>5.3590603188645163E-2</v>
      </c>
      <c r="AH189" s="33">
        <f t="shared" si="127"/>
        <v>8.6154272325167369E-4</v>
      </c>
      <c r="AI189" s="35">
        <f t="shared" si="93"/>
        <v>-0.1054074214509879</v>
      </c>
      <c r="AJ189" s="33">
        <f t="shared" si="111"/>
        <v>-6.039400378498347</v>
      </c>
      <c r="AK189" s="37">
        <f t="shared" si="128"/>
        <v>-8.5327395313239407E-4</v>
      </c>
      <c r="AM189" s="41">
        <f t="shared" si="112"/>
        <v>-9.4225129062325802E-2</v>
      </c>
      <c r="AN189" s="41">
        <f t="shared" si="113"/>
        <v>-5.3987022193467444</v>
      </c>
      <c r="AO189" s="42">
        <f t="shared" si="114"/>
        <v>9.4225129062325802E-2</v>
      </c>
      <c r="AP189" s="41">
        <f t="shared" si="129"/>
        <v>-0.30360792210369558</v>
      </c>
      <c r="AQ189" s="41">
        <f t="shared" si="130"/>
        <v>-9.1755698504610017E-2</v>
      </c>
      <c r="AR189" s="43">
        <f t="shared" si="94"/>
        <v>0.85049559211864811</v>
      </c>
      <c r="AS189" s="41">
        <f t="shared" si="95"/>
        <v>48.729807922878457</v>
      </c>
      <c r="AU189" s="48">
        <f t="shared" si="131"/>
        <v>9.0998193532105948E-2</v>
      </c>
      <c r="AV189" s="48">
        <f t="shared" si="115"/>
        <v>5.2138124327043363</v>
      </c>
      <c r="AW189" s="49">
        <f t="shared" si="116"/>
        <v>0.75949739858654219</v>
      </c>
      <c r="AX189" s="48">
        <f t="shared" si="132"/>
        <v>-0.75414384245443145</v>
      </c>
      <c r="AY189" s="48">
        <f t="shared" si="133"/>
        <v>-0.76614775484673547</v>
      </c>
      <c r="AZ189" s="50">
        <f t="shared" si="117"/>
        <v>-6.8763734899878193E-3</v>
      </c>
      <c r="BA189" s="48">
        <f t="shared" si="118"/>
        <v>-0.39398717933194649</v>
      </c>
      <c r="BB189" s="52">
        <f t="shared" si="134"/>
        <v>-7.579810893278674E-2</v>
      </c>
      <c r="BC189" s="44">
        <f t="shared" si="119"/>
        <v>9.0998193532105948E-2</v>
      </c>
    </row>
    <row r="190" spans="4:55" x14ac:dyDescent="0.3">
      <c r="D190">
        <f t="shared" si="120"/>
        <v>1.8800000000000014</v>
      </c>
      <c r="F190" s="5">
        <f t="shared" si="96"/>
        <v>0.85940419283370018</v>
      </c>
      <c r="G190" s="6">
        <f t="shared" si="97"/>
        <v>49.24023314521817</v>
      </c>
      <c r="I190" s="9">
        <f t="shared" si="98"/>
        <v>0.86001710773651252</v>
      </c>
      <c r="J190" s="9">
        <f t="shared" si="99"/>
        <v>49.275350582349986</v>
      </c>
      <c r="K190" s="9">
        <f t="shared" si="100"/>
        <v>-6.0359012715033646</v>
      </c>
      <c r="L190" s="9">
        <f t="shared" si="101"/>
        <v>-0.1053463505130459</v>
      </c>
      <c r="M190" s="11">
        <f t="shared" si="91"/>
        <v>2.8166068026260316E-2</v>
      </c>
      <c r="O190" s="15">
        <f t="shared" si="102"/>
        <v>0.87202821790157636</v>
      </c>
      <c r="P190" s="15">
        <f t="shared" si="103"/>
        <v>49.963536502074824</v>
      </c>
      <c r="Q190" s="15">
        <v>-6.0359012715033602</v>
      </c>
      <c r="R190" s="15">
        <f t="shared" si="104"/>
        <v>-0.10534635051304582</v>
      </c>
      <c r="S190" s="16">
        <f t="shared" si="92"/>
        <v>1.4172830861651775E-3</v>
      </c>
      <c r="U190" s="23">
        <f t="shared" si="121"/>
        <v>0.86677494414714906</v>
      </c>
      <c r="V190" s="23">
        <f t="shared" si="105"/>
        <v>49.662546087319299</v>
      </c>
      <c r="W190" s="23">
        <f t="shared" si="106"/>
        <v>5.8896818500157044E-3</v>
      </c>
      <c r="X190" s="23">
        <f t="shared" si="122"/>
        <v>4.6595473207472239E-2</v>
      </c>
      <c r="Y190" s="23">
        <f t="shared" si="123"/>
        <v>-5.7074782564892068E-3</v>
      </c>
      <c r="Z190" s="26">
        <f t="shared" si="107"/>
        <v>-0.10494177272369344</v>
      </c>
      <c r="AA190" s="23">
        <f t="shared" si="108"/>
        <v>-6.0127206716887356</v>
      </c>
      <c r="AB190" s="24">
        <f t="shared" si="124"/>
        <v>5.6526999797616995E-3</v>
      </c>
      <c r="AD190" s="33">
        <f t="shared" si="125"/>
        <v>0.87354513957759283</v>
      </c>
      <c r="AE190" s="33">
        <f t="shared" si="109"/>
        <v>50.050449711962479</v>
      </c>
      <c r="AF190" s="33">
        <f t="shared" si="110"/>
        <v>-8.8051358042806616E-4</v>
      </c>
      <c r="AG190" s="33">
        <f t="shared" si="126"/>
        <v>5.3581798052840884E-2</v>
      </c>
      <c r="AH190" s="33">
        <f t="shared" si="127"/>
        <v>8.5327395312750909E-4</v>
      </c>
      <c r="AI190" s="35">
        <f t="shared" si="93"/>
        <v>-0.10540683531459127</v>
      </c>
      <c r="AJ190" s="33">
        <f t="shared" si="111"/>
        <v>-6.0393667953566013</v>
      </c>
      <c r="AK190" s="37">
        <f t="shared" si="128"/>
        <v>-8.4508454361875707E-4</v>
      </c>
      <c r="AM190" s="41">
        <f t="shared" si="112"/>
        <v>-9.3315147127004741E-2</v>
      </c>
      <c r="AN190" s="41">
        <f t="shared" si="113"/>
        <v>-5.3465640950197013</v>
      </c>
      <c r="AO190" s="42">
        <f t="shared" si="114"/>
        <v>9.3315147127004741E-2</v>
      </c>
      <c r="AP190" s="41">
        <f t="shared" si="129"/>
        <v>-0.30267477063242554</v>
      </c>
      <c r="AQ190" s="41">
        <f t="shared" si="130"/>
        <v>-9.0998193532106086E-2</v>
      </c>
      <c r="AR190" s="43">
        <f t="shared" si="94"/>
        <v>0.84215327773794124</v>
      </c>
      <c r="AS190" s="41">
        <f t="shared" si="95"/>
        <v>48.251828517492662</v>
      </c>
      <c r="AU190" s="48">
        <f t="shared" si="131"/>
        <v>9.0240212442778078E-2</v>
      </c>
      <c r="AV190" s="48">
        <f t="shared" si="115"/>
        <v>5.1703833153351209</v>
      </c>
      <c r="AW190" s="49">
        <f t="shared" si="116"/>
        <v>0.75191306529516311</v>
      </c>
      <c r="AX190" s="48">
        <f t="shared" si="132"/>
        <v>-0.74662471180147982</v>
      </c>
      <c r="AY190" s="48">
        <f t="shared" si="133"/>
        <v>-0.75843332913790862</v>
      </c>
      <c r="AZ190" s="50">
        <f t="shared" si="117"/>
        <v>-6.7845403416770256E-3</v>
      </c>
      <c r="BA190" s="48">
        <f t="shared" si="118"/>
        <v>-0.38872552751433909</v>
      </c>
      <c r="BB190" s="52">
        <f t="shared" si="134"/>
        <v>-7.580421831099679E-2</v>
      </c>
      <c r="BC190" s="44">
        <f t="shared" si="119"/>
        <v>9.0240212442778078E-2</v>
      </c>
    </row>
    <row r="191" spans="4:55" x14ac:dyDescent="0.3">
      <c r="D191">
        <f t="shared" si="120"/>
        <v>1.8900000000000015</v>
      </c>
      <c r="F191" s="5">
        <f t="shared" si="96"/>
        <v>0.85969623913975113</v>
      </c>
      <c r="G191" s="6">
        <f t="shared" si="97"/>
        <v>49.256966165977275</v>
      </c>
      <c r="I191" s="9">
        <f t="shared" si="98"/>
        <v>0.86029876841677511</v>
      </c>
      <c r="J191" s="9">
        <f t="shared" si="99"/>
        <v>49.291488550583814</v>
      </c>
      <c r="K191" s="9">
        <f t="shared" si="100"/>
        <v>-6.0359012715033646</v>
      </c>
      <c r="L191" s="9">
        <f t="shared" si="101"/>
        <v>-0.1053463505130459</v>
      </c>
      <c r="M191" s="11">
        <f t="shared" si="91"/>
        <v>2.7538808692286532E-2</v>
      </c>
      <c r="O191" s="15">
        <f t="shared" si="102"/>
        <v>0.87204239073243806</v>
      </c>
      <c r="P191" s="15">
        <f t="shared" si="103"/>
        <v>49.964348545466954</v>
      </c>
      <c r="Q191" s="15">
        <v>-6.0359012715033602</v>
      </c>
      <c r="R191" s="15">
        <f t="shared" si="104"/>
        <v>-0.10534635051304582</v>
      </c>
      <c r="S191" s="16">
        <f t="shared" si="92"/>
        <v>1.3857201415661269E-3</v>
      </c>
      <c r="U191" s="23">
        <f t="shared" si="121"/>
        <v>0.8668314711469467</v>
      </c>
      <c r="V191" s="23">
        <f t="shared" si="105"/>
        <v>49.665784845836242</v>
      </c>
      <c r="W191" s="23">
        <f t="shared" si="106"/>
        <v>5.8331548502180697E-3</v>
      </c>
      <c r="X191" s="23">
        <f t="shared" si="122"/>
        <v>4.6653804755974422E-2</v>
      </c>
      <c r="Y191" s="23">
        <f t="shared" si="123"/>
        <v>-5.6526999797634758E-3</v>
      </c>
      <c r="Z191" s="26">
        <f t="shared" si="107"/>
        <v>-0.10494565571248617</v>
      </c>
      <c r="AA191" s="23">
        <f t="shared" si="108"/>
        <v>-6.0129431505584554</v>
      </c>
      <c r="AB191" s="24">
        <f t="shared" si="124"/>
        <v>5.5984474447761112E-3</v>
      </c>
      <c r="AD191" s="33">
        <f t="shared" si="125"/>
        <v>0.87353668873215662</v>
      </c>
      <c r="AE191" s="33">
        <f t="shared" si="109"/>
        <v>50.049965514185672</v>
      </c>
      <c r="AF191" s="33">
        <f t="shared" si="110"/>
        <v>-8.7206273499185194E-4</v>
      </c>
      <c r="AG191" s="33">
        <f t="shared" si="126"/>
        <v>5.3573077425490966E-2</v>
      </c>
      <c r="AH191" s="33">
        <f t="shared" si="127"/>
        <v>8.450845436214216E-4</v>
      </c>
      <c r="AI191" s="35">
        <f t="shared" si="93"/>
        <v>-0.10540625480371633</v>
      </c>
      <c r="AJ191" s="33">
        <f t="shared" si="111"/>
        <v>-6.0393335345335055</v>
      </c>
      <c r="AK191" s="37">
        <f t="shared" si="128"/>
        <v>-8.3697373304225664E-4</v>
      </c>
      <c r="AM191" s="41">
        <f t="shared" si="112"/>
        <v>-9.2412745002576957E-2</v>
      </c>
      <c r="AN191" s="41">
        <f t="shared" si="113"/>
        <v>-5.2948602618663498</v>
      </c>
      <c r="AO191" s="42">
        <f t="shared" si="114"/>
        <v>9.2412745002576957E-2</v>
      </c>
      <c r="AP191" s="41">
        <f t="shared" si="129"/>
        <v>-0.30175064318239975</v>
      </c>
      <c r="AQ191" s="41">
        <f t="shared" si="130"/>
        <v>-9.0240212442778411E-2</v>
      </c>
      <c r="AR191" s="43">
        <f t="shared" si="94"/>
        <v>0.8338872375829911</v>
      </c>
      <c r="AS191" s="41">
        <f t="shared" si="95"/>
        <v>47.778219303328356</v>
      </c>
      <c r="AU191" s="48">
        <f t="shared" si="131"/>
        <v>8.9482170259668106E-2</v>
      </c>
      <c r="AV191" s="48">
        <f t="shared" si="115"/>
        <v>5.1269506975500363</v>
      </c>
      <c r="AW191" s="49">
        <f t="shared" si="116"/>
        <v>0.74440506732332301</v>
      </c>
      <c r="AX191" s="48">
        <f t="shared" si="132"/>
        <v>-0.73918066112824654</v>
      </c>
      <c r="AY191" s="48">
        <f t="shared" si="133"/>
        <v>-0.75079979718400969</v>
      </c>
      <c r="AZ191" s="50">
        <f t="shared" si="117"/>
        <v>-6.6948134042328911E-3</v>
      </c>
      <c r="BA191" s="48">
        <f t="shared" si="118"/>
        <v>-0.38358455269015579</v>
      </c>
      <c r="BB191" s="52">
        <f t="shared" si="134"/>
        <v>-7.5771336300191824E-2</v>
      </c>
      <c r="BC191" s="44">
        <f t="shared" si="119"/>
        <v>8.9482170259668106E-2</v>
      </c>
    </row>
    <row r="192" spans="4:55" x14ac:dyDescent="0.3">
      <c r="D192">
        <f t="shared" si="120"/>
        <v>1.9000000000000015</v>
      </c>
      <c r="F192" s="5">
        <f t="shared" si="96"/>
        <v>0.85998185345041944</v>
      </c>
      <c r="G192" s="6">
        <f t="shared" si="97"/>
        <v>49.27333066054711</v>
      </c>
      <c r="I192" s="9">
        <f t="shared" si="98"/>
        <v>0.86057415650369795</v>
      </c>
      <c r="J192" s="9">
        <f t="shared" si="99"/>
        <v>49.307267125692675</v>
      </c>
      <c r="K192" s="9">
        <f t="shared" si="100"/>
        <v>-6.0359012715033646</v>
      </c>
      <c r="L192" s="9">
        <f t="shared" si="101"/>
        <v>-0.1053463505130459</v>
      </c>
      <c r="M192" s="11">
        <f t="shared" si="91"/>
        <v>2.692551844592872E-2</v>
      </c>
      <c r="O192" s="15">
        <f t="shared" si="102"/>
        <v>0.87205624793385372</v>
      </c>
      <c r="P192" s="15">
        <f t="shared" si="103"/>
        <v>49.965142504623934</v>
      </c>
      <c r="Q192" s="15">
        <v>-6.0359012715033602</v>
      </c>
      <c r="R192" s="15">
        <f t="shared" si="104"/>
        <v>-0.10534635051304582</v>
      </c>
      <c r="S192" s="16">
        <f t="shared" si="92"/>
        <v>1.3548601048629649E-3</v>
      </c>
      <c r="U192" s="23">
        <f t="shared" si="121"/>
        <v>0.86688745562139446</v>
      </c>
      <c r="V192" s="23">
        <f t="shared" si="105"/>
        <v>49.668992519940353</v>
      </c>
      <c r="W192" s="23">
        <f t="shared" si="106"/>
        <v>5.7771703757703019E-3</v>
      </c>
      <c r="X192" s="23">
        <f t="shared" si="122"/>
        <v>4.6711576459732125E-2</v>
      </c>
      <c r="Y192" s="23">
        <f t="shared" si="123"/>
        <v>-5.5984474447767774E-3</v>
      </c>
      <c r="Z192" s="26">
        <f t="shared" si="107"/>
        <v>-0.10494950143378097</v>
      </c>
      <c r="AA192" s="23">
        <f t="shared" si="108"/>
        <v>-6.0131634941578316</v>
      </c>
      <c r="AB192" s="24">
        <f t="shared" si="124"/>
        <v>5.5447156056658287E-3</v>
      </c>
      <c r="AD192" s="33">
        <f t="shared" si="125"/>
        <v>0.87352831899482619</v>
      </c>
      <c r="AE192" s="33">
        <f t="shared" si="109"/>
        <v>50.049485963561004</v>
      </c>
      <c r="AF192" s="33">
        <f t="shared" si="110"/>
        <v>-8.6369299766142493E-4</v>
      </c>
      <c r="AG192" s="33">
        <f t="shared" si="126"/>
        <v>5.356444049551435E-2</v>
      </c>
      <c r="AH192" s="33">
        <f t="shared" si="127"/>
        <v>8.3697373304270073E-4</v>
      </c>
      <c r="AI192" s="35">
        <f t="shared" si="93"/>
        <v>-0.10540567986437106</v>
      </c>
      <c r="AJ192" s="33">
        <f t="shared" si="111"/>
        <v>-6.0393005929355459</v>
      </c>
      <c r="AK192" s="37">
        <f t="shared" si="128"/>
        <v>-8.2894076704498332E-4</v>
      </c>
      <c r="AM192" s="41">
        <f t="shared" si="112"/>
        <v>-9.1517923299980278E-2</v>
      </c>
      <c r="AN192" s="41">
        <f t="shared" si="113"/>
        <v>-5.2435907548908496</v>
      </c>
      <c r="AO192" s="42">
        <f t="shared" si="114"/>
        <v>9.1517923299980278E-2</v>
      </c>
      <c r="AP192" s="41">
        <f t="shared" si="129"/>
        <v>-0.30083546394939992</v>
      </c>
      <c r="AQ192" s="41">
        <f t="shared" si="130"/>
        <v>-8.9482170259667926E-2</v>
      </c>
      <c r="AR192" s="43">
        <f t="shared" si="94"/>
        <v>0.82569706274013477</v>
      </c>
      <c r="AS192" s="41">
        <f t="shared" si="95"/>
        <v>47.30895685135846</v>
      </c>
      <c r="AU192" s="48">
        <f t="shared" si="131"/>
        <v>8.8724456896666193E-2</v>
      </c>
      <c r="AV192" s="48">
        <f t="shared" si="115"/>
        <v>5.0835369197693625</v>
      </c>
      <c r="AW192" s="49">
        <f t="shared" si="116"/>
        <v>0.73697260584346858</v>
      </c>
      <c r="AX192" s="48">
        <f t="shared" si="132"/>
        <v>-0.73181093506981187</v>
      </c>
      <c r="AY192" s="48">
        <f t="shared" si="133"/>
        <v>-0.74324614798544353</v>
      </c>
      <c r="AZ192" s="50">
        <f t="shared" si="117"/>
        <v>-6.6071108073861851E-3</v>
      </c>
      <c r="BA192" s="48">
        <f t="shared" si="118"/>
        <v>-0.37855956403850216</v>
      </c>
      <c r="BB192" s="52">
        <f t="shared" si="134"/>
        <v>-7.5701841580961035E-2</v>
      </c>
      <c r="BC192" s="44">
        <f t="shared" si="119"/>
        <v>8.8724456896666193E-2</v>
      </c>
    </row>
    <row r="193" spans="4:55" x14ac:dyDescent="0.3">
      <c r="D193">
        <f t="shared" si="120"/>
        <v>1.9100000000000015</v>
      </c>
      <c r="F193" s="5">
        <f t="shared" si="96"/>
        <v>0.8602611774232567</v>
      </c>
      <c r="G193" s="6">
        <f t="shared" si="97"/>
        <v>49.289334745307507</v>
      </c>
      <c r="I193" s="9">
        <f t="shared" si="98"/>
        <v>0.86084341168815726</v>
      </c>
      <c r="J193" s="9">
        <f t="shared" si="99"/>
        <v>49.322694311374214</v>
      </c>
      <c r="K193" s="9">
        <f t="shared" si="100"/>
        <v>-6.0359012715033646</v>
      </c>
      <c r="L193" s="9">
        <f t="shared" si="101"/>
        <v>-0.1053463505130459</v>
      </c>
      <c r="M193" s="11">
        <f t="shared" si="91"/>
        <v>2.6325886195109893E-2</v>
      </c>
      <c r="O193" s="15">
        <f t="shared" si="102"/>
        <v>0.87206979653490235</v>
      </c>
      <c r="P193" s="15">
        <f t="shared" si="103"/>
        <v>49.96591878228233</v>
      </c>
      <c r="Q193" s="15">
        <v>-6.0359012715033602</v>
      </c>
      <c r="R193" s="15">
        <f t="shared" si="104"/>
        <v>-0.10534635051304582</v>
      </c>
      <c r="S193" s="16">
        <f t="shared" si="92"/>
        <v>1.3246873222718669E-3</v>
      </c>
      <c r="U193" s="23">
        <f t="shared" si="121"/>
        <v>0.86694290277745112</v>
      </c>
      <c r="V193" s="23">
        <f t="shared" si="105"/>
        <v>49.672169407968404</v>
      </c>
      <c r="W193" s="23">
        <f t="shared" si="106"/>
        <v>5.7217232197136481E-3</v>
      </c>
      <c r="X193" s="23">
        <f t="shared" si="122"/>
        <v>4.676879369192926E-2</v>
      </c>
      <c r="Y193" s="23">
        <f t="shared" si="123"/>
        <v>-5.5447156056653846E-3</v>
      </c>
      <c r="Z193" s="26">
        <f t="shared" si="107"/>
        <v>-0.10495331024525749</v>
      </c>
      <c r="AA193" s="23">
        <f t="shared" si="108"/>
        <v>-6.0133817229803972</v>
      </c>
      <c r="AB193" s="24">
        <f t="shared" si="124"/>
        <v>5.4914994649808424E-3</v>
      </c>
      <c r="AD193" s="33">
        <f t="shared" si="125"/>
        <v>0.87352002958715569</v>
      </c>
      <c r="AE193" s="33">
        <f t="shared" si="109"/>
        <v>50.049011015486819</v>
      </c>
      <c r="AF193" s="33">
        <f t="shared" si="110"/>
        <v>-8.5540358999092181E-4</v>
      </c>
      <c r="AG193" s="33">
        <f t="shared" si="126"/>
        <v>5.3555886459614441E-2</v>
      </c>
      <c r="AH193" s="33">
        <f t="shared" si="127"/>
        <v>8.2894076705031239E-4</v>
      </c>
      <c r="AI193" s="35">
        <f t="shared" si="93"/>
        <v>-0.10540511044308229</v>
      </c>
      <c r="AJ193" s="33">
        <f t="shared" si="111"/>
        <v>-6.039267967498934</v>
      </c>
      <c r="AK193" s="37">
        <f t="shared" si="128"/>
        <v>-8.2098489849702361E-4</v>
      </c>
      <c r="AM193" s="41">
        <f t="shared" si="112"/>
        <v>-9.0630678731013617E-2</v>
      </c>
      <c r="AN193" s="41">
        <f t="shared" si="113"/>
        <v>-5.1927553856931556</v>
      </c>
      <c r="AO193" s="42">
        <f t="shared" si="114"/>
        <v>9.0630678731013617E-2</v>
      </c>
      <c r="AP193" s="41">
        <f t="shared" si="129"/>
        <v>-0.29992915716208979</v>
      </c>
      <c r="AQ193" s="41">
        <f t="shared" si="130"/>
        <v>-8.8724456896666082E-2</v>
      </c>
      <c r="AR193" s="43">
        <f t="shared" si="94"/>
        <v>0.81758233041347006</v>
      </c>
      <c r="AS193" s="41">
        <f t="shared" si="95"/>
        <v>46.844016937162202</v>
      </c>
      <c r="AU193" s="48">
        <f t="shared" si="131"/>
        <v>8.7967438480856586E-2</v>
      </c>
      <c r="AV193" s="48">
        <f t="shared" si="115"/>
        <v>5.0401629595297921</v>
      </c>
      <c r="AW193" s="49">
        <f t="shared" si="116"/>
        <v>0.72961489193261353</v>
      </c>
      <c r="AX193" s="48">
        <f t="shared" si="132"/>
        <v>-0.7245147861504857</v>
      </c>
      <c r="AY193" s="48">
        <f t="shared" si="133"/>
        <v>-0.7357713910855046</v>
      </c>
      <c r="AZ193" s="50">
        <f t="shared" si="117"/>
        <v>-6.5213546088281338E-3</v>
      </c>
      <c r="BA193" s="48">
        <f t="shared" si="118"/>
        <v>-0.37364609579403996</v>
      </c>
      <c r="BB193" s="52">
        <f t="shared" si="134"/>
        <v>-7.5597987397662117E-2</v>
      </c>
      <c r="BC193" s="44">
        <f t="shared" si="119"/>
        <v>8.7967438480856586E-2</v>
      </c>
    </row>
    <row r="194" spans="4:55" x14ac:dyDescent="0.3">
      <c r="D194">
        <f t="shared" si="120"/>
        <v>1.9200000000000015</v>
      </c>
      <c r="F194" s="5">
        <f t="shared" si="96"/>
        <v>0.86053434959596387</v>
      </c>
      <c r="G194" s="6">
        <f t="shared" si="97"/>
        <v>49.304986357884047</v>
      </c>
      <c r="I194" s="9">
        <f t="shared" si="98"/>
        <v>0.86110667055010837</v>
      </c>
      <c r="J194" s="9">
        <f t="shared" si="99"/>
        <v>49.33777793308343</v>
      </c>
      <c r="K194" s="9">
        <f t="shared" si="100"/>
        <v>-6.0359012715033646</v>
      </c>
      <c r="L194" s="9">
        <f t="shared" si="101"/>
        <v>-0.1053463505130459</v>
      </c>
      <c r="M194" s="11">
        <f t="shared" ref="M194:M257" si="135">$B$4*$B$1*$B$2*$B$2*$B$5*$B$6*I194/(4*$B$3) + $B$4*$B$1*$B$2*$B$5*$B$5*$B$7*L194/(2*$B$3)</f>
        <v>2.5739607775785656E-2</v>
      </c>
      <c r="O194" s="15">
        <f t="shared" si="102"/>
        <v>0.87208304340812504</v>
      </c>
      <c r="P194" s="15">
        <f t="shared" si="103"/>
        <v>49.966677772209735</v>
      </c>
      <c r="Q194" s="15">
        <v>-6.0359012715033602</v>
      </c>
      <c r="R194" s="15">
        <f t="shared" si="104"/>
        <v>-0.10534635051304582</v>
      </c>
      <c r="S194" s="16">
        <f t="shared" ref="S194:S257" si="136">$B$4*$B$1*$B$2*$B$2*$B$5*$B$6*O194/(4*$B$3) + $B$4*$B$1*$B$2*$B$5*$B$5*$B$7*R194/(2*$B$3)</f>
        <v>1.2951864886192599E-3</v>
      </c>
      <c r="U194" s="23">
        <f t="shared" si="121"/>
        <v>0.86699781777210094</v>
      </c>
      <c r="V194" s="23">
        <f t="shared" si="105"/>
        <v>49.675315805393822</v>
      </c>
      <c r="W194" s="23">
        <f t="shared" si="106"/>
        <v>5.6668082250638241E-3</v>
      </c>
      <c r="X194" s="23">
        <f t="shared" si="122"/>
        <v>4.68254617741799E-2</v>
      </c>
      <c r="Y194" s="23">
        <f t="shared" si="123"/>
        <v>-5.4914994649823967E-3</v>
      </c>
      <c r="Z194" s="26">
        <f t="shared" si="107"/>
        <v>-0.10495708250116254</v>
      </c>
      <c r="AA194" s="23">
        <f t="shared" si="108"/>
        <v>-6.0135978573229991</v>
      </c>
      <c r="AB194" s="24">
        <f t="shared" si="124"/>
        <v>5.4387940732378848E-3</v>
      </c>
      <c r="AD194" s="33">
        <f t="shared" si="125"/>
        <v>0.87351181973817071</v>
      </c>
      <c r="AE194" s="33">
        <f t="shared" si="109"/>
        <v>50.048540625789542</v>
      </c>
      <c r="AF194" s="33">
        <f t="shared" si="110"/>
        <v>-8.4719374100594713E-4</v>
      </c>
      <c r="AG194" s="33">
        <f t="shared" si="126"/>
        <v>5.3547414522204378E-2</v>
      </c>
      <c r="AH194" s="33">
        <f t="shared" si="127"/>
        <v>8.209848984974677E-4</v>
      </c>
      <c r="AI194" s="35">
        <f t="shared" ref="AI194:AI257" si="137">MAX($B$34*AF194+$B$35*AG194+$B$36*AH194,RADIANS(-21.5))</f>
        <v>-0.10540454648688935</v>
      </c>
      <c r="AJ194" s="33">
        <f t="shared" si="111"/>
        <v>-6.0392356551892483</v>
      </c>
      <c r="AK194" s="37">
        <f t="shared" si="128"/>
        <v>-8.131053874531613E-4</v>
      </c>
      <c r="AM194" s="41">
        <f t="shared" si="112"/>
        <v>-8.9751004346205046E-2</v>
      </c>
      <c r="AN194" s="41">
        <f t="shared" si="113"/>
        <v>-5.1423537560978572</v>
      </c>
      <c r="AO194" s="42">
        <f t="shared" si="114"/>
        <v>8.9751004346205046E-2</v>
      </c>
      <c r="AP194" s="41">
        <f t="shared" si="129"/>
        <v>-0.29903164711862773</v>
      </c>
      <c r="AQ194" s="41">
        <f t="shared" si="130"/>
        <v>-8.7967438480857085E-2</v>
      </c>
      <c r="AR194" s="43">
        <f t="shared" ref="AR194:AR257" si="138">$B$55*AO194+$B$56*AP194+$B$57*AQ194</f>
        <v>0.80954260498119335</v>
      </c>
      <c r="AS194" s="41">
        <f t="shared" ref="AS194:AS257" si="139">DEGREES(AR194)</f>
        <v>46.38337460144875</v>
      </c>
      <c r="AU194" s="48">
        <f t="shared" si="131"/>
        <v>8.7211458606879969E-2</v>
      </c>
      <c r="AV194" s="48">
        <f t="shared" si="115"/>
        <v>4.9968485033541006</v>
      </c>
      <c r="AW194" s="49">
        <f t="shared" si="116"/>
        <v>0.72233114637431339</v>
      </c>
      <c r="AX194" s="48">
        <f t="shared" si="132"/>
        <v>-0.71729147468674259</v>
      </c>
      <c r="AY194" s="48">
        <f t="shared" si="133"/>
        <v>-0.72837455583001365</v>
      </c>
      <c r="AZ194" s="50">
        <f t="shared" si="117"/>
        <v>-6.4374705959915346E-3</v>
      </c>
      <c r="BA194" s="48">
        <f t="shared" si="118"/>
        <v>-0.36883989588988164</v>
      </c>
      <c r="BB194" s="52">
        <f t="shared" si="134"/>
        <v>-7.5461908008628398E-2</v>
      </c>
      <c r="BC194" s="44">
        <f t="shared" si="119"/>
        <v>8.7211458606879969E-2</v>
      </c>
    </row>
    <row r="195" spans="4:55" x14ac:dyDescent="0.3">
      <c r="D195">
        <f t="shared" si="120"/>
        <v>1.9300000000000015</v>
      </c>
      <c r="F195" s="5">
        <f t="shared" ref="F195:F258" si="140">$B$22+($B$13-$B$22)*EXP(-$B$9*D195)</f>
        <v>0.86080150545510348</v>
      </c>
      <c r="G195" s="6">
        <f t="shared" ref="G195:G258" si="141">DEGREES(F195)</f>
        <v>49.320293261084942</v>
      </c>
      <c r="I195" s="9">
        <f t="shared" ref="I195:I258" si="142">I194 + M194*$B$11</f>
        <v>0.86136406662786624</v>
      </c>
      <c r="J195" s="9">
        <f t="shared" ref="J195:J258" si="143">DEGREES(I195)</f>
        <v>49.352525642002178</v>
      </c>
      <c r="K195" s="9">
        <f t="shared" ref="K195:K258" si="144">$B$19</f>
        <v>-6.0359012715033646</v>
      </c>
      <c r="L195" s="9">
        <f t="shared" ref="L195:L258" si="145">RADIANS(K195)</f>
        <v>-0.1053463505130459</v>
      </c>
      <c r="M195" s="11">
        <f t="shared" si="135"/>
        <v>2.5166385797654511E-2</v>
      </c>
      <c r="O195" s="15">
        <f t="shared" ref="O195:O258" si="146">O194 + S194*$B$11</f>
        <v>0.87209599527301118</v>
      </c>
      <c r="P195" s="15">
        <f t="shared" ref="P195:P258" si="147">DEGREES(O195)</f>
        <v>49.967419859404529</v>
      </c>
      <c r="Q195" s="15">
        <v>-6.0359012715033602</v>
      </c>
      <c r="R195" s="15">
        <f t="shared" ref="R195:R258" si="148">RADIANS(Q195)</f>
        <v>-0.10534635051304582</v>
      </c>
      <c r="S195" s="16">
        <f t="shared" si="136"/>
        <v>1.2663426395786992E-3</v>
      </c>
      <c r="U195" s="23">
        <f t="shared" si="121"/>
        <v>0.86705220571283337</v>
      </c>
      <c r="V195" s="23">
        <f t="shared" ref="V195:V258" si="149">DEGREES(U195)</f>
        <v>49.678432004854201</v>
      </c>
      <c r="W195" s="23">
        <f t="shared" ref="W195:W258" si="150">$B$17 - U195</f>
        <v>5.6124202843313986E-3</v>
      </c>
      <c r="X195" s="23">
        <f t="shared" si="122"/>
        <v>4.6881585977023216E-2</v>
      </c>
      <c r="Y195" s="23">
        <f t="shared" si="123"/>
        <v>-5.4387940732425477E-3</v>
      </c>
      <c r="Z195" s="26">
        <f t="shared" ref="Z195:Z258" si="151">$B$25*W195+$B$26*X195+$B$27*Y195</f>
        <v>-0.10496081855234302</v>
      </c>
      <c r="AA195" s="23">
        <f t="shared" ref="AA195:AA258" si="152">DEGREES(Z195)</f>
        <v>-6.0138119172876863</v>
      </c>
      <c r="AB195" s="24">
        <f t="shared" si="124"/>
        <v>5.3865945284550243E-3</v>
      </c>
      <c r="AD195" s="33">
        <f t="shared" si="125"/>
        <v>0.87350368868429618</v>
      </c>
      <c r="AE195" s="33">
        <f t="shared" ref="AE195:AE258" si="153">DEGREES(AD195)</f>
        <v>50.048074750719536</v>
      </c>
      <c r="AF195" s="33">
        <f t="shared" ref="AF195:AF258" si="154">$B$17 - AD195</f>
        <v>-8.3906268713140886E-4</v>
      </c>
      <c r="AG195" s="33">
        <f t="shared" si="126"/>
        <v>5.3539023895333063E-2</v>
      </c>
      <c r="AH195" s="33">
        <f t="shared" si="127"/>
        <v>8.1310538745382743E-4</v>
      </c>
      <c r="AI195" s="35">
        <f t="shared" si="137"/>
        <v>-0.10540398794334058</v>
      </c>
      <c r="AJ195" s="33">
        <f t="shared" ref="AJ195:AJ258" si="155">DEGREES(AI195)</f>
        <v>-6.0392036530012287</v>
      </c>
      <c r="AK195" s="37">
        <f t="shared" si="128"/>
        <v>-8.0530150105584397E-4</v>
      </c>
      <c r="AM195" s="41">
        <f t="shared" ref="AM195:AM258" si="156">AM194 + BC194*$B$11</f>
        <v>-8.8878889760136248E-2</v>
      </c>
      <c r="AN195" s="41">
        <f t="shared" ref="AN195:AN258" si="157">DEGREES(AM195)</f>
        <v>-5.0923852710643169</v>
      </c>
      <c r="AO195" s="42">
        <f t="shared" ref="AO195:AO258" si="158">$B$47 - AM195</f>
        <v>8.8878889760136248E-2</v>
      </c>
      <c r="AP195" s="41">
        <f t="shared" si="129"/>
        <v>-0.29814285822102637</v>
      </c>
      <c r="AQ195" s="41">
        <f t="shared" si="130"/>
        <v>-8.7211458606879788E-2</v>
      </c>
      <c r="AR195" s="43">
        <f t="shared" si="138"/>
        <v>0.80157743899448275</v>
      </c>
      <c r="AS195" s="41">
        <f t="shared" si="139"/>
        <v>45.92700420728908</v>
      </c>
      <c r="AU195" s="48">
        <f t="shared" si="131"/>
        <v>8.6456839526793686E-2</v>
      </c>
      <c r="AV195" s="48">
        <f t="shared" ref="AV195:AV258" si="159">DEGREES(AU195)</f>
        <v>4.9536120149251115</v>
      </c>
      <c r="AW195" s="49">
        <f t="shared" ref="AW195:AW258" si="160">AR195 - AU195</f>
        <v>0.71512059946768902</v>
      </c>
      <c r="AX195" s="48">
        <f t="shared" si="132"/>
        <v>-0.7101402686920657</v>
      </c>
      <c r="AY195" s="48">
        <f t="shared" si="133"/>
        <v>-0.7210546906624371</v>
      </c>
      <c r="AZ195" s="50">
        <f t="shared" ref="AZ195:AZ258" si="161">MIN(MAX($B$50*AW195+$B$51*AX195+$B$52*AY195,RADIANS(-21.5)),RADIANS(21.5))</f>
        <v>-6.3553880979344557E-3</v>
      </c>
      <c r="BA195" s="48">
        <f t="shared" ref="BA195:BA258" si="162">DEGREES(AZ195)</f>
        <v>-0.36413691517932023</v>
      </c>
      <c r="BB195" s="52">
        <f t="shared" si="134"/>
        <v>-7.5295624806357361E-2</v>
      </c>
      <c r="BC195" s="44">
        <f t="shared" ref="BC195:BC258" si="163">AU195</f>
        <v>8.6456839526793686E-2</v>
      </c>
    </row>
    <row r="196" spans="4:55" x14ac:dyDescent="0.3">
      <c r="D196">
        <f t="shared" ref="D196:D259" si="164">D195+$B$11</f>
        <v>1.9400000000000015</v>
      </c>
      <c r="F196" s="5">
        <f t="shared" si="140"/>
        <v>0.86106277750329652</v>
      </c>
      <c r="G196" s="6">
        <f t="shared" si="141"/>
        <v>49.335263046751137</v>
      </c>
      <c r="I196" s="9">
        <f t="shared" si="142"/>
        <v>0.86161573048584283</v>
      </c>
      <c r="J196" s="9">
        <f t="shared" si="143"/>
        <v>49.366944918920211</v>
      </c>
      <c r="K196" s="9">
        <f t="shared" si="144"/>
        <v>-6.0359012715033646</v>
      </c>
      <c r="L196" s="9">
        <f t="shared" si="145"/>
        <v>-0.1053463505130459</v>
      </c>
      <c r="M196" s="11">
        <f t="shared" si="135"/>
        <v>2.4605929493308309E-2</v>
      </c>
      <c r="O196" s="15">
        <f t="shared" si="146"/>
        <v>0.87210865869940701</v>
      </c>
      <c r="P196" s="15">
        <f t="shared" si="147"/>
        <v>49.968145420291187</v>
      </c>
      <c r="Q196" s="15">
        <v>-6.0359012715033602</v>
      </c>
      <c r="R196" s="15">
        <f t="shared" si="148"/>
        <v>-0.10534635051304582</v>
      </c>
      <c r="S196" s="16">
        <f t="shared" si="136"/>
        <v>1.2381411440787193E-3</v>
      </c>
      <c r="U196" s="23">
        <f t="shared" ref="U196:U259" si="165">U195 + AB195*$B$11</f>
        <v>0.86710607165811793</v>
      </c>
      <c r="V196" s="23">
        <f t="shared" si="149"/>
        <v>49.681518296178488</v>
      </c>
      <c r="W196" s="23">
        <f t="shared" si="150"/>
        <v>5.5585543390468395E-3</v>
      </c>
      <c r="X196" s="23">
        <f t="shared" ref="X196:X259" si="166">X195+($B$11*W196)</f>
        <v>4.6937171520413684E-2</v>
      </c>
      <c r="Y196" s="23">
        <f t="shared" ref="Y196:Y259" si="167">(W196-W195)/$B$11</f>
        <v>-5.3865945284559125E-3</v>
      </c>
      <c r="Z196" s="26">
        <f t="shared" si="151"/>
        <v>-0.10496451874627877</v>
      </c>
      <c r="AA196" s="23">
        <f t="shared" si="152"/>
        <v>-6.0140239227835846</v>
      </c>
      <c r="AB196" s="24">
        <f t="shared" ref="AB196:AB259" si="168">$B$4*$B$1*$B$2*$B$2*$B$5*$B$6*U196/(4*$B$3) + $B$4*$B$1*$B$2*$B$5*$B$5*$B$7*Z196/(2*$B$3)</f>
        <v>5.3348959757029135E-3</v>
      </c>
      <c r="AD196" s="33">
        <f t="shared" ref="AD196:AD259" si="169">AD195 + AK195*$B$11</f>
        <v>0.87349563566928556</v>
      </c>
      <c r="AE196" s="33">
        <f t="shared" si="153"/>
        <v>50.047613346947074</v>
      </c>
      <c r="AF196" s="33">
        <f t="shared" si="154"/>
        <v>-8.3100967212079713E-4</v>
      </c>
      <c r="AG196" s="33">
        <f t="shared" ref="AG196:AG259" si="170">AG195+($B$11*AF196)</f>
        <v>5.3530713798611858E-2</v>
      </c>
      <c r="AH196" s="33">
        <f t="shared" ref="AH196:AH259" si="171">(AF196-AF195)/$B$11</f>
        <v>8.0530150106117304E-4</v>
      </c>
      <c r="AI196" s="35">
        <f t="shared" si="137"/>
        <v>-0.10540343476048743</v>
      </c>
      <c r="AJ196" s="33">
        <f t="shared" si="155"/>
        <v>-6.0391719579584446</v>
      </c>
      <c r="AK196" s="37">
        <f t="shared" ref="AK196:AK259" si="172">$B$4*$B$1*$B$2*$B$2*$B$5*$B$6*AD196/(4*$B$3) + $B$4*$B$1*$B$2*$B$5*$B$5*$B$7*AI196/(2*$B$3)</f>
        <v>-7.9757251348810954E-4</v>
      </c>
      <c r="AM196" s="41">
        <f t="shared" si="156"/>
        <v>-8.8014321364868309E-2</v>
      </c>
      <c r="AN196" s="41">
        <f t="shared" si="157"/>
        <v>-5.0428491509150657</v>
      </c>
      <c r="AO196" s="42">
        <f t="shared" si="158"/>
        <v>8.8014321364868309E-2</v>
      </c>
      <c r="AP196" s="41">
        <f t="shared" ref="AP196:AP259" si="173">AP195+($B$11*AO196)</f>
        <v>-0.29726271500737766</v>
      </c>
      <c r="AQ196" s="41">
        <f t="shared" ref="AQ196:AQ259" si="174">(AO196-AO195)/$B$11</f>
        <v>-8.6456839526793949E-2</v>
      </c>
      <c r="AR196" s="43">
        <f t="shared" si="138"/>
        <v>0.79368637412188914</v>
      </c>
      <c r="AS196" s="41">
        <f t="shared" si="139"/>
        <v>45.474879494225526</v>
      </c>
      <c r="AU196" s="48">
        <f t="shared" ref="AU196:AU259" si="175">AU195 + BB195*$B$11</f>
        <v>8.5703883278730117E-2</v>
      </c>
      <c r="AV196" s="48">
        <f t="shared" si="159"/>
        <v>4.9104707997530639</v>
      </c>
      <c r="AW196" s="49">
        <f t="shared" si="160"/>
        <v>0.70798249084315901</v>
      </c>
      <c r="AX196" s="48">
        <f t="shared" ref="AX196:AX259" si="176">AX195+($B$11*AW196)</f>
        <v>-0.70306044378363408</v>
      </c>
      <c r="AY196" s="48">
        <f t="shared" ref="AY196:AY259" si="177">(AW196-AW195)/$B$11</f>
        <v>-0.71381086245300152</v>
      </c>
      <c r="AZ196" s="50">
        <f t="shared" si="161"/>
        <v>-6.2750398067848434E-3</v>
      </c>
      <c r="BA196" s="48">
        <f t="shared" si="162"/>
        <v>-0.35953329720535909</v>
      </c>
      <c r="BB196" s="52">
        <f t="shared" ref="BB196:BB259" si="178">$B$4*$B$1*$B$2*$B$2*$B$5*$B$6*AU196/(4*$B$3) + $B$4*$B$1*$B$2*$B$5*$B$5*$B$7*AZ196/(2*$B$3)</f>
        <v>-7.5101052125022785E-2</v>
      </c>
      <c r="BC196" s="44">
        <f t="shared" si="163"/>
        <v>8.5703883278730117E-2</v>
      </c>
    </row>
    <row r="197" spans="4:55" x14ac:dyDescent="0.3">
      <c r="D197">
        <f t="shared" si="164"/>
        <v>1.9500000000000015</v>
      </c>
      <c r="F197" s="5">
        <f t="shared" si="140"/>
        <v>0.86131829532494142</v>
      </c>
      <c r="G197" s="6">
        <f t="shared" si="141"/>
        <v>49.349903139521771</v>
      </c>
      <c r="I197" s="9">
        <f t="shared" si="142"/>
        <v>0.86186178978077588</v>
      </c>
      <c r="J197" s="9">
        <f t="shared" si="143"/>
        <v>49.38104307802984</v>
      </c>
      <c r="K197" s="9">
        <f t="shared" si="144"/>
        <v>-6.0359012715033646</v>
      </c>
      <c r="L197" s="9">
        <f t="shared" si="145"/>
        <v>-0.1053463505130459</v>
      </c>
      <c r="M197" s="11">
        <f t="shared" si="135"/>
        <v>2.4057954570738449E-2</v>
      </c>
      <c r="O197" s="15">
        <f t="shared" si="146"/>
        <v>0.87212104011084779</v>
      </c>
      <c r="P197" s="15">
        <f t="shared" si="147"/>
        <v>49.968854822911162</v>
      </c>
      <c r="Q197" s="15">
        <v>-6.0359012715033602</v>
      </c>
      <c r="R197" s="15">
        <f t="shared" si="148"/>
        <v>-0.10534635051304582</v>
      </c>
      <c r="S197" s="16">
        <f t="shared" si="136"/>
        <v>1.2105676968841017E-3</v>
      </c>
      <c r="U197" s="23">
        <f t="shared" si="165"/>
        <v>0.86715942061787499</v>
      </c>
      <c r="V197" s="23">
        <f t="shared" si="149"/>
        <v>49.684574966413976</v>
      </c>
      <c r="W197" s="23">
        <f t="shared" si="150"/>
        <v>5.5052053792897793E-3</v>
      </c>
      <c r="X197" s="23">
        <f t="shared" si="166"/>
        <v>4.6992223574206585E-2</v>
      </c>
      <c r="Y197" s="23">
        <f t="shared" si="167"/>
        <v>-5.3348959757060221E-3</v>
      </c>
      <c r="Z197" s="26">
        <f t="shared" si="151"/>
        <v>-0.1049681834271142</v>
      </c>
      <c r="AA197" s="23">
        <f t="shared" si="152"/>
        <v>-6.0142338935287167</v>
      </c>
      <c r="AB197" s="24">
        <f t="shared" si="168"/>
        <v>5.2836936066409379E-3</v>
      </c>
      <c r="AD197" s="33">
        <f t="shared" si="169"/>
        <v>0.87348765994415067</v>
      </c>
      <c r="AE197" s="33">
        <f t="shared" si="153"/>
        <v>50.047156371558287</v>
      </c>
      <c r="AF197" s="33">
        <f t="shared" si="154"/>
        <v>-8.2303394698590715E-4</v>
      </c>
      <c r="AG197" s="33">
        <f t="shared" si="170"/>
        <v>5.3522483459141998E-2</v>
      </c>
      <c r="AH197" s="33">
        <f t="shared" si="171"/>
        <v>7.9757251348899771E-4</v>
      </c>
      <c r="AI197" s="35">
        <f t="shared" si="137"/>
        <v>-0.10540288688687963</v>
      </c>
      <c r="AJ197" s="33">
        <f t="shared" si="155"/>
        <v>-6.0391405671130114</v>
      </c>
      <c r="AK197" s="37">
        <f t="shared" si="172"/>
        <v>-7.8991770590253196E-4</v>
      </c>
      <c r="AM197" s="41">
        <f t="shared" si="156"/>
        <v>-8.7157282532081007E-2</v>
      </c>
      <c r="AN197" s="41">
        <f t="shared" si="157"/>
        <v>-4.9937444429175351</v>
      </c>
      <c r="AO197" s="42">
        <f t="shared" si="158"/>
        <v>8.7157282532081007E-2</v>
      </c>
      <c r="AP197" s="41">
        <f t="shared" si="173"/>
        <v>-0.29639114218205687</v>
      </c>
      <c r="AQ197" s="41">
        <f t="shared" si="174"/>
        <v>-8.5703883278730186E-2</v>
      </c>
      <c r="AR197" s="43">
        <f t="shared" si="138"/>
        <v>0.78586894204207991</v>
      </c>
      <c r="AS197" s="41">
        <f t="shared" si="139"/>
        <v>45.02697362942228</v>
      </c>
      <c r="AU197" s="48">
        <f t="shared" si="175"/>
        <v>8.4952872757479883E-2</v>
      </c>
      <c r="AV197" s="48">
        <f t="shared" si="159"/>
        <v>4.8674410665155055</v>
      </c>
      <c r="AW197" s="49">
        <f t="shared" si="160"/>
        <v>0.70091606928460004</v>
      </c>
      <c r="AX197" s="48">
        <f t="shared" si="176"/>
        <v>-0.69605128309078812</v>
      </c>
      <c r="AY197" s="48">
        <f t="shared" si="177"/>
        <v>-0.70664215585589663</v>
      </c>
      <c r="AZ197" s="50">
        <f t="shared" si="161"/>
        <v>-6.1963616083443585E-3</v>
      </c>
      <c r="BA197" s="48">
        <f t="shared" si="162"/>
        <v>-0.35502536849502653</v>
      </c>
      <c r="BB197" s="52">
        <f t="shared" si="178"/>
        <v>-7.4880002749684191E-2</v>
      </c>
      <c r="BC197" s="44">
        <f t="shared" si="163"/>
        <v>8.4952872757479883E-2</v>
      </c>
    </row>
    <row r="198" spans="4:55" x14ac:dyDescent="0.3">
      <c r="D198">
        <f t="shared" si="164"/>
        <v>1.9600000000000015</v>
      </c>
      <c r="F198" s="5">
        <f t="shared" si="140"/>
        <v>0.86156818565048421</v>
      </c>
      <c r="G198" s="6">
        <f t="shared" si="141"/>
        <v>49.36422080051652</v>
      </c>
      <c r="I198" s="9">
        <f t="shared" si="142"/>
        <v>0.86210236932648321</v>
      </c>
      <c r="J198" s="9">
        <f t="shared" si="143"/>
        <v>49.39482727063605</v>
      </c>
      <c r="K198" s="9">
        <f t="shared" si="144"/>
        <v>-6.0359012715033646</v>
      </c>
      <c r="L198" s="9">
        <f t="shared" si="145"/>
        <v>-0.1053463505130459</v>
      </c>
      <c r="M198" s="11">
        <f t="shared" si="135"/>
        <v>2.3522183069131009E-2</v>
      </c>
      <c r="O198" s="15">
        <f t="shared" si="146"/>
        <v>0.87213314578781664</v>
      </c>
      <c r="P198" s="15">
        <f t="shared" si="147"/>
        <v>49.969548427109622</v>
      </c>
      <c r="Q198" s="15">
        <v>-6.0359012715033602</v>
      </c>
      <c r="R198" s="15">
        <f t="shared" si="148"/>
        <v>-0.10534635051304582</v>
      </c>
      <c r="S198" s="16">
        <f t="shared" si="136"/>
        <v>1.1836083113367923E-3</v>
      </c>
      <c r="U198" s="23">
        <f t="shared" si="165"/>
        <v>0.86721225755394138</v>
      </c>
      <c r="V198" s="23">
        <f t="shared" si="149"/>
        <v>49.687602299852983</v>
      </c>
      <c r="W198" s="23">
        <f t="shared" si="150"/>
        <v>5.4523684432233877E-3</v>
      </c>
      <c r="X198" s="23">
        <f t="shared" si="166"/>
        <v>4.7046747258638819E-2</v>
      </c>
      <c r="Y198" s="23">
        <f t="shared" si="167"/>
        <v>-5.2836936066391615E-3</v>
      </c>
      <c r="Z198" s="26">
        <f t="shared" si="151"/>
        <v>-0.10497181293569122</v>
      </c>
      <c r="AA198" s="23">
        <f t="shared" si="152"/>
        <v>-6.0144418490518872</v>
      </c>
      <c r="AB198" s="24">
        <f t="shared" si="168"/>
        <v>5.2329826590844508E-3</v>
      </c>
      <c r="AD198" s="33">
        <f t="shared" si="169"/>
        <v>0.87347976076709166</v>
      </c>
      <c r="AE198" s="33">
        <f t="shared" si="153"/>
        <v>50.046703782051182</v>
      </c>
      <c r="AF198" s="33">
        <f t="shared" si="154"/>
        <v>-8.1513476992689515E-4</v>
      </c>
      <c r="AG198" s="33">
        <f t="shared" si="170"/>
        <v>5.3514332111442728E-2</v>
      </c>
      <c r="AH198" s="33">
        <f t="shared" si="171"/>
        <v>7.899177059011997E-4</v>
      </c>
      <c r="AI198" s="35">
        <f t="shared" si="137"/>
        <v>-0.10540234427156117</v>
      </c>
      <c r="AJ198" s="33">
        <f t="shared" si="155"/>
        <v>-6.0391094775453649</v>
      </c>
      <c r="AK198" s="37">
        <f t="shared" si="172"/>
        <v>-7.8233636634417181E-4</v>
      </c>
      <c r="AM198" s="41">
        <f t="shared" si="156"/>
        <v>-8.6307753804506213E-2</v>
      </c>
      <c r="AN198" s="41">
        <f t="shared" si="157"/>
        <v>-4.9450700322523797</v>
      </c>
      <c r="AO198" s="42">
        <f t="shared" si="158"/>
        <v>8.6307753804506213E-2</v>
      </c>
      <c r="AP198" s="41">
        <f t="shared" si="173"/>
        <v>-0.29552806464401182</v>
      </c>
      <c r="AQ198" s="41">
        <f t="shared" si="174"/>
        <v>-8.4952872757479425E-2</v>
      </c>
      <c r="AR198" s="43">
        <f t="shared" si="138"/>
        <v>0.77812466528758273</v>
      </c>
      <c r="AS198" s="41">
        <f t="shared" si="139"/>
        <v>44.583259256008326</v>
      </c>
      <c r="AU198" s="48">
        <f t="shared" si="175"/>
        <v>8.4204072729983037E-2</v>
      </c>
      <c r="AV198" s="48">
        <f t="shared" si="159"/>
        <v>4.8245379852406556</v>
      </c>
      <c r="AW198" s="49">
        <f t="shared" si="160"/>
        <v>0.69392059255759975</v>
      </c>
      <c r="AX198" s="48">
        <f t="shared" si="176"/>
        <v>-0.68911207716521217</v>
      </c>
      <c r="AY198" s="48">
        <f t="shared" si="177"/>
        <v>-0.69954767270002938</v>
      </c>
      <c r="AZ198" s="50">
        <f t="shared" si="161"/>
        <v>-6.1192924212750133E-3</v>
      </c>
      <c r="BA198" s="48">
        <f t="shared" si="162"/>
        <v>-0.35060962934544881</v>
      </c>
      <c r="BB198" s="52">
        <f t="shared" si="178"/>
        <v>-7.463419314447084E-2</v>
      </c>
      <c r="BC198" s="44">
        <f t="shared" si="163"/>
        <v>8.4204072729983037E-2</v>
      </c>
    </row>
    <row r="199" spans="4:55" x14ac:dyDescent="0.3">
      <c r="D199">
        <f t="shared" si="164"/>
        <v>1.9700000000000015</v>
      </c>
      <c r="F199" s="5">
        <f t="shared" si="140"/>
        <v>0.86181257241927323</v>
      </c>
      <c r="G199" s="6">
        <f t="shared" si="141"/>
        <v>49.378223130936973</v>
      </c>
      <c r="I199" s="9">
        <f t="shared" si="142"/>
        <v>0.86233759115717457</v>
      </c>
      <c r="J199" s="9">
        <f t="shared" si="143"/>
        <v>49.408304488784005</v>
      </c>
      <c r="K199" s="9">
        <f t="shared" si="144"/>
        <v>-6.0359012715033646</v>
      </c>
      <c r="L199" s="9">
        <f t="shared" si="145"/>
        <v>-0.1053463505130459</v>
      </c>
      <c r="M199" s="11">
        <f t="shared" si="135"/>
        <v>2.2998343217867312E-2</v>
      </c>
      <c r="O199" s="15">
        <f t="shared" si="146"/>
        <v>0.87214498187093004</v>
      </c>
      <c r="P199" s="15">
        <f t="shared" si="147"/>
        <v>49.970226584717985</v>
      </c>
      <c r="Q199" s="15">
        <v>-6.0359012715033602</v>
      </c>
      <c r="R199" s="15">
        <f t="shared" si="148"/>
        <v>-0.10534635051304582</v>
      </c>
      <c r="S199" s="16">
        <f t="shared" si="136"/>
        <v>1.1572493122615768E-3</v>
      </c>
      <c r="U199" s="23">
        <f t="shared" si="165"/>
        <v>0.86726458738053225</v>
      </c>
      <c r="V199" s="23">
        <f t="shared" si="149"/>
        <v>49.690600578059296</v>
      </c>
      <c r="W199" s="23">
        <f t="shared" si="150"/>
        <v>5.4000386166325187E-3</v>
      </c>
      <c r="X199" s="23">
        <f t="shared" si="166"/>
        <v>4.7100747644805145E-2</v>
      </c>
      <c r="Y199" s="23">
        <f t="shared" si="167"/>
        <v>-5.2329826590868933E-3</v>
      </c>
      <c r="Z199" s="26">
        <f t="shared" si="151"/>
        <v>-0.10497540760957989</v>
      </c>
      <c r="AA199" s="23">
        <f t="shared" si="152"/>
        <v>-6.0146478086944342</v>
      </c>
      <c r="AB199" s="24">
        <f t="shared" si="168"/>
        <v>5.182758416544031E-3</v>
      </c>
      <c r="AD199" s="33">
        <f t="shared" si="169"/>
        <v>0.87347193740342821</v>
      </c>
      <c r="AE199" s="33">
        <f t="shared" si="153"/>
        <v>50.046255536331664</v>
      </c>
      <c r="AF199" s="33">
        <f t="shared" si="154"/>
        <v>-8.0731140626344455E-4</v>
      </c>
      <c r="AG199" s="33">
        <f t="shared" si="170"/>
        <v>5.3506258997380096E-2</v>
      </c>
      <c r="AH199" s="33">
        <f t="shared" si="171"/>
        <v>7.8233636634505999E-4</v>
      </c>
      <c r="AI199" s="35">
        <f t="shared" si="137"/>
        <v>-0.10540180686406503</v>
      </c>
      <c r="AJ199" s="33">
        <f t="shared" si="155"/>
        <v>-6.0390786863639567</v>
      </c>
      <c r="AK199" s="37">
        <f t="shared" si="172"/>
        <v>-7.748277896928446E-4</v>
      </c>
      <c r="AM199" s="41">
        <f t="shared" si="156"/>
        <v>-8.5465713077206379E-2</v>
      </c>
      <c r="AN199" s="41">
        <f t="shared" si="157"/>
        <v>-4.8968246523999728</v>
      </c>
      <c r="AO199" s="42">
        <f t="shared" si="158"/>
        <v>8.5465713077206379E-2</v>
      </c>
      <c r="AP199" s="41">
        <f t="shared" si="173"/>
        <v>-0.29467340751323978</v>
      </c>
      <c r="AQ199" s="41">
        <f t="shared" si="174"/>
        <v>-8.420407272998337E-2</v>
      </c>
      <c r="AR199" s="43">
        <f t="shared" si="138"/>
        <v>0.77045305804208053</v>
      </c>
      <c r="AS199" s="41">
        <f t="shared" si="139"/>
        <v>44.143708538759064</v>
      </c>
      <c r="AU199" s="48">
        <f t="shared" si="175"/>
        <v>8.3457730798538327E-2</v>
      </c>
      <c r="AV199" s="48">
        <f t="shared" si="159"/>
        <v>4.7817757424952321</v>
      </c>
      <c r="AW199" s="49">
        <f t="shared" si="160"/>
        <v>0.68699532724354218</v>
      </c>
      <c r="AX199" s="48">
        <f t="shared" si="176"/>
        <v>-0.68224212389277672</v>
      </c>
      <c r="AY199" s="48">
        <f t="shared" si="177"/>
        <v>-0.69252653140575715</v>
      </c>
      <c r="AZ199" s="50">
        <f t="shared" si="161"/>
        <v>-6.043774044502126E-3</v>
      </c>
      <c r="BA199" s="48">
        <f t="shared" si="162"/>
        <v>-0.34628274508068357</v>
      </c>
      <c r="BB199" s="52">
        <f t="shared" si="178"/>
        <v>-7.43652484127591E-2</v>
      </c>
      <c r="BC199" s="44">
        <f t="shared" si="163"/>
        <v>8.3457730798538327E-2</v>
      </c>
    </row>
    <row r="200" spans="4:55" x14ac:dyDescent="0.3">
      <c r="D200">
        <f t="shared" si="164"/>
        <v>1.9800000000000015</v>
      </c>
      <c r="F200" s="5">
        <f t="shared" si="140"/>
        <v>0.86205157684103095</v>
      </c>
      <c r="G200" s="6">
        <f t="shared" si="141"/>
        <v>49.391917075588651</v>
      </c>
      <c r="I200" s="9">
        <f t="shared" si="142"/>
        <v>0.86256757458935329</v>
      </c>
      <c r="J200" s="9">
        <f t="shared" si="143"/>
        <v>49.421481568805774</v>
      </c>
      <c r="K200" s="9">
        <f t="shared" si="144"/>
        <v>-6.0359012715033646</v>
      </c>
      <c r="L200" s="9">
        <f t="shared" si="145"/>
        <v>-0.1053463505130459</v>
      </c>
      <c r="M200" s="11">
        <f t="shared" si="135"/>
        <v>2.2486169298671532E-2</v>
      </c>
      <c r="O200" s="15">
        <f t="shared" si="146"/>
        <v>0.87215655436405271</v>
      </c>
      <c r="P200" s="15">
        <f t="shared" si="147"/>
        <v>49.970889639732363</v>
      </c>
      <c r="Q200" s="15">
        <v>-6.0359012715033602</v>
      </c>
      <c r="R200" s="15">
        <f t="shared" si="148"/>
        <v>-0.10534635051304582</v>
      </c>
      <c r="S200" s="16">
        <f t="shared" si="136"/>
        <v>1.1314773290305169E-3</v>
      </c>
      <c r="U200" s="23">
        <f t="shared" si="165"/>
        <v>0.86731641496469769</v>
      </c>
      <c r="V200" s="23">
        <f t="shared" si="149"/>
        <v>49.693570079894336</v>
      </c>
      <c r="W200" s="23">
        <f t="shared" si="150"/>
        <v>5.3482110324670762E-3</v>
      </c>
      <c r="X200" s="23">
        <f t="shared" si="166"/>
        <v>4.7154229755129819E-2</v>
      </c>
      <c r="Y200" s="23">
        <f t="shared" si="167"/>
        <v>-5.1827584165442531E-3</v>
      </c>
      <c r="Z200" s="26">
        <f t="shared" si="151"/>
        <v>-0.10497896778311107</v>
      </c>
      <c r="AA200" s="23">
        <f t="shared" si="152"/>
        <v>-6.014851791612104</v>
      </c>
      <c r="AB200" s="24">
        <f t="shared" si="168"/>
        <v>5.1330162078102592E-3</v>
      </c>
      <c r="AD200" s="33">
        <f t="shared" si="169"/>
        <v>0.87346418912553125</v>
      </c>
      <c r="AE200" s="33">
        <f t="shared" si="153"/>
        <v>50.045811592709676</v>
      </c>
      <c r="AF200" s="33">
        <f t="shared" si="154"/>
        <v>-7.9956312836648724E-4</v>
      </c>
      <c r="AG200" s="33">
        <f t="shared" si="170"/>
        <v>5.3498263366096428E-2</v>
      </c>
      <c r="AH200" s="33">
        <f t="shared" si="171"/>
        <v>7.7482778969573118E-4</v>
      </c>
      <c r="AI200" s="35">
        <f t="shared" si="137"/>
        <v>-0.10540127461440836</v>
      </c>
      <c r="AJ200" s="33">
        <f t="shared" si="155"/>
        <v>-6.0390481907049827</v>
      </c>
      <c r="AK200" s="37">
        <f t="shared" si="172"/>
        <v>-7.6739127759695158E-4</v>
      </c>
      <c r="AM200" s="41">
        <f t="shared" si="156"/>
        <v>-8.4631135769220989E-2</v>
      </c>
      <c r="AN200" s="41">
        <f t="shared" si="157"/>
        <v>-4.8490068949750205</v>
      </c>
      <c r="AO200" s="42">
        <f t="shared" si="158"/>
        <v>8.4631135769220989E-2</v>
      </c>
      <c r="AP200" s="41">
        <f t="shared" si="173"/>
        <v>-0.29382709615554758</v>
      </c>
      <c r="AQ200" s="41">
        <f t="shared" si="174"/>
        <v>-8.345773079853902E-2</v>
      </c>
      <c r="AR200" s="43">
        <f t="shared" si="138"/>
        <v>0.76285362689367087</v>
      </c>
      <c r="AS200" s="41">
        <f t="shared" si="139"/>
        <v>43.708293207254933</v>
      </c>
      <c r="AU200" s="48">
        <f t="shared" si="175"/>
        <v>8.271407831441073E-2</v>
      </c>
      <c r="AV200" s="48">
        <f t="shared" si="159"/>
        <v>4.7391675937303015</v>
      </c>
      <c r="AW200" s="49">
        <f t="shared" si="160"/>
        <v>0.68013954857926018</v>
      </c>
      <c r="AX200" s="48">
        <f t="shared" si="176"/>
        <v>-0.6754407284069841</v>
      </c>
      <c r="AY200" s="48">
        <f t="shared" si="177"/>
        <v>-0.68557786642819973</v>
      </c>
      <c r="AZ200" s="50">
        <f t="shared" si="161"/>
        <v>-5.9697510124111508E-3</v>
      </c>
      <c r="BA200" s="48">
        <f t="shared" si="162"/>
        <v>-0.34204153775510926</v>
      </c>
      <c r="BB200" s="52">
        <f t="shared" si="178"/>
        <v>-7.4074707003105505E-2</v>
      </c>
      <c r="BC200" s="44">
        <f t="shared" si="163"/>
        <v>8.271407831441073E-2</v>
      </c>
    </row>
    <row r="201" spans="4:55" x14ac:dyDescent="0.3">
      <c r="D201">
        <f t="shared" si="164"/>
        <v>1.9900000000000015</v>
      </c>
      <c r="F201" s="5">
        <f t="shared" si="140"/>
        <v>0.86228531745596992</v>
      </c>
      <c r="G201" s="6">
        <f t="shared" si="141"/>
        <v>49.405309426325452</v>
      </c>
      <c r="I201" s="9">
        <f t="shared" si="142"/>
        <v>0.86279243628234004</v>
      </c>
      <c r="J201" s="9">
        <f t="shared" si="143"/>
        <v>49.434365194788086</v>
      </c>
      <c r="K201" s="9">
        <f t="shared" si="144"/>
        <v>-6.0359012715033646</v>
      </c>
      <c r="L201" s="9">
        <f t="shared" si="145"/>
        <v>-0.1053463505130459</v>
      </c>
      <c r="M201" s="11">
        <f t="shared" si="135"/>
        <v>2.1985401510822511E-2</v>
      </c>
      <c r="O201" s="15">
        <f t="shared" si="146"/>
        <v>0.87216786913734301</v>
      </c>
      <c r="P201" s="15">
        <f t="shared" si="147"/>
        <v>49.97153792848804</v>
      </c>
      <c r="Q201" s="15">
        <v>-6.0359012715033602</v>
      </c>
      <c r="R201" s="15">
        <f t="shared" si="148"/>
        <v>-0.10534635051304582</v>
      </c>
      <c r="S201" s="16">
        <f t="shared" si="136"/>
        <v>1.1062792887805983E-3</v>
      </c>
      <c r="U201" s="23">
        <f t="shared" si="165"/>
        <v>0.86736774512677584</v>
      </c>
      <c r="V201" s="23">
        <f t="shared" si="149"/>
        <v>49.696511081543136</v>
      </c>
      <c r="W201" s="23">
        <f t="shared" si="150"/>
        <v>5.2968808703889314E-3</v>
      </c>
      <c r="X201" s="23">
        <f t="shared" si="166"/>
        <v>4.7207198563833708E-2</v>
      </c>
      <c r="Y201" s="23">
        <f t="shared" si="167"/>
        <v>-5.1330162078144781E-3</v>
      </c>
      <c r="Z201" s="26">
        <f t="shared" si="151"/>
        <v>-0.10498249378740621</v>
      </c>
      <c r="AA201" s="23">
        <f t="shared" si="152"/>
        <v>-6.0150538167767609</v>
      </c>
      <c r="AB201" s="24">
        <f t="shared" si="168"/>
        <v>5.0837514064954181E-3</v>
      </c>
      <c r="AD201" s="33">
        <f t="shared" si="169"/>
        <v>0.87345651521275525</v>
      </c>
      <c r="AE201" s="33">
        <f t="shared" si="153"/>
        <v>50.045371909895259</v>
      </c>
      <c r="AF201" s="33">
        <f t="shared" si="154"/>
        <v>-7.9188921559047998E-4</v>
      </c>
      <c r="AG201" s="33">
        <f t="shared" si="170"/>
        <v>5.3490344473940521E-2</v>
      </c>
      <c r="AH201" s="33">
        <f t="shared" si="171"/>
        <v>7.6739127760072634E-4</v>
      </c>
      <c r="AI201" s="35">
        <f t="shared" si="137"/>
        <v>-0.10540074747308809</v>
      </c>
      <c r="AJ201" s="33">
        <f t="shared" si="155"/>
        <v>-6.0390179877321239</v>
      </c>
      <c r="AK201" s="37">
        <f t="shared" si="172"/>
        <v>-7.6002613840930877E-4</v>
      </c>
      <c r="AM201" s="41">
        <f t="shared" si="156"/>
        <v>-8.380399498607688E-2</v>
      </c>
      <c r="AN201" s="41">
        <f t="shared" si="157"/>
        <v>-4.8016152190377177</v>
      </c>
      <c r="AO201" s="42">
        <f t="shared" si="158"/>
        <v>8.380399498607688E-2</v>
      </c>
      <c r="AP201" s="41">
        <f t="shared" si="173"/>
        <v>-0.29298905620568683</v>
      </c>
      <c r="AQ201" s="41">
        <f t="shared" si="174"/>
        <v>-8.271407831441091E-2</v>
      </c>
      <c r="AR201" s="43">
        <f t="shared" si="138"/>
        <v>0.75532587154635789</v>
      </c>
      <c r="AS201" s="41">
        <f t="shared" si="139"/>
        <v>43.276984596646862</v>
      </c>
      <c r="AU201" s="48">
        <f t="shared" si="175"/>
        <v>8.197333124437968E-2</v>
      </c>
      <c r="AV201" s="48">
        <f t="shared" si="159"/>
        <v>4.6967259129308401</v>
      </c>
      <c r="AW201" s="49">
        <f t="shared" si="160"/>
        <v>0.67335254030197822</v>
      </c>
      <c r="AX201" s="48">
        <f t="shared" si="176"/>
        <v>-0.66870720300396436</v>
      </c>
      <c r="AY201" s="48">
        <f t="shared" si="177"/>
        <v>-0.67870082772819584</v>
      </c>
      <c r="AZ201" s="50">
        <f t="shared" si="161"/>
        <v>-5.8971704573867467E-3</v>
      </c>
      <c r="BA201" s="48">
        <f t="shared" si="162"/>
        <v>-0.33788297827749386</v>
      </c>
      <c r="BB201" s="52">
        <f t="shared" si="178"/>
        <v>-7.3764025174929096E-2</v>
      </c>
      <c r="BC201" s="44">
        <f t="shared" si="163"/>
        <v>8.197333124437968E-2</v>
      </c>
    </row>
    <row r="202" spans="4:55" x14ac:dyDescent="0.3">
      <c r="D202">
        <f t="shared" si="164"/>
        <v>2.0000000000000013</v>
      </c>
      <c r="F202" s="5">
        <f t="shared" si="140"/>
        <v>0.86251391019358659</v>
      </c>
      <c r="G202" s="6">
        <f t="shared" si="141"/>
        <v>49.418406825418224</v>
      </c>
      <c r="I202" s="9">
        <f t="shared" si="142"/>
        <v>0.8630122902974483</v>
      </c>
      <c r="J202" s="9">
        <f t="shared" si="143"/>
        <v>49.446961901962794</v>
      </c>
      <c r="K202" s="9">
        <f t="shared" si="144"/>
        <v>-6.0359012715033646</v>
      </c>
      <c r="L202" s="9">
        <f t="shared" si="145"/>
        <v>-0.1053463505130459</v>
      </c>
      <c r="M202" s="11">
        <f t="shared" si="135"/>
        <v>2.1495785839370951E-2</v>
      </c>
      <c r="O202" s="15">
        <f t="shared" si="146"/>
        <v>0.87217893193023077</v>
      </c>
      <c r="P202" s="15">
        <f t="shared" si="147"/>
        <v>49.972171779830141</v>
      </c>
      <c r="Q202" s="15">
        <v>-6.0359012715033602</v>
      </c>
      <c r="R202" s="15">
        <f t="shared" si="148"/>
        <v>-0.10534635051304582</v>
      </c>
      <c r="S202" s="16">
        <f t="shared" si="136"/>
        <v>1.0816424097805921E-3</v>
      </c>
      <c r="U202" s="23">
        <f t="shared" si="165"/>
        <v>0.86741858264084082</v>
      </c>
      <c r="V202" s="23">
        <f t="shared" si="149"/>
        <v>49.699423856539994</v>
      </c>
      <c r="W202" s="23">
        <f t="shared" si="150"/>
        <v>5.2460433563239484E-3</v>
      </c>
      <c r="X202" s="23">
        <f t="shared" si="166"/>
        <v>4.7259658997396946E-2</v>
      </c>
      <c r="Y202" s="23">
        <f t="shared" si="167"/>
        <v>-5.0837514064983047E-3</v>
      </c>
      <c r="Z202" s="26">
        <f t="shared" si="151"/>
        <v>-0.1049859859504093</v>
      </c>
      <c r="AA202" s="23">
        <f t="shared" si="152"/>
        <v>-6.0152539029782099</v>
      </c>
      <c r="AB202" s="24">
        <f t="shared" si="168"/>
        <v>5.0349594306227097E-3</v>
      </c>
      <c r="AD202" s="33">
        <f t="shared" si="169"/>
        <v>0.87344891495137111</v>
      </c>
      <c r="AE202" s="33">
        <f t="shared" si="153"/>
        <v>50.044936446994754</v>
      </c>
      <c r="AF202" s="33">
        <f t="shared" si="154"/>
        <v>-7.8428895420634692E-4</v>
      </c>
      <c r="AG202" s="33">
        <f t="shared" si="170"/>
        <v>5.3482501584398455E-2</v>
      </c>
      <c r="AH202" s="33">
        <f t="shared" si="171"/>
        <v>7.6002613841330557E-4</v>
      </c>
      <c r="AI202" s="35">
        <f t="shared" si="137"/>
        <v>-0.10540022539107628</v>
      </c>
      <c r="AJ202" s="33">
        <f t="shared" si="155"/>
        <v>-6.0389880746362881</v>
      </c>
      <c r="AK202" s="37">
        <f t="shared" si="172"/>
        <v>-7.5273168711853522E-4</v>
      </c>
      <c r="AM202" s="41">
        <f t="shared" si="156"/>
        <v>-8.2984261673633083E-2</v>
      </c>
      <c r="AN202" s="41">
        <f t="shared" si="157"/>
        <v>-4.754647959908409</v>
      </c>
      <c r="AO202" s="42">
        <f t="shared" si="158"/>
        <v>8.2984261673633083E-2</v>
      </c>
      <c r="AP202" s="41">
        <f t="shared" si="173"/>
        <v>-0.29215921358895047</v>
      </c>
      <c r="AQ202" s="41">
        <f t="shared" si="174"/>
        <v>-8.197333124437961E-2</v>
      </c>
      <c r="AR202" s="43">
        <f t="shared" si="138"/>
        <v>0.74786928549195131</v>
      </c>
      <c r="AS202" s="41">
        <f t="shared" si="139"/>
        <v>42.849753686153257</v>
      </c>
      <c r="AU202" s="48">
        <f t="shared" si="175"/>
        <v>8.1235690992630394E-2</v>
      </c>
      <c r="AV202" s="48">
        <f t="shared" si="159"/>
        <v>4.6544622397066391</v>
      </c>
      <c r="AW202" s="49">
        <f t="shared" si="160"/>
        <v>0.66663359449932091</v>
      </c>
      <c r="AX202" s="48">
        <f t="shared" si="176"/>
        <v>-0.66204086705897114</v>
      </c>
      <c r="AY202" s="48">
        <f t="shared" si="177"/>
        <v>-0.67189458026573057</v>
      </c>
      <c r="AZ202" s="50">
        <f t="shared" si="161"/>
        <v>-5.8259819793708978E-3</v>
      </c>
      <c r="BA202" s="48">
        <f t="shared" si="162"/>
        <v>-0.33380417893722586</v>
      </c>
      <c r="BB202" s="52">
        <f t="shared" si="178"/>
        <v>-7.3434581235255231E-2</v>
      </c>
      <c r="BC202" s="44">
        <f t="shared" si="163"/>
        <v>8.1235690992630394E-2</v>
      </c>
    </row>
    <row r="203" spans="4:55" x14ac:dyDescent="0.3">
      <c r="D203">
        <f t="shared" si="164"/>
        <v>2.0100000000000011</v>
      </c>
      <c r="F203" s="5">
        <f t="shared" si="140"/>
        <v>0.86273746843015875</v>
      </c>
      <c r="G203" s="6">
        <f t="shared" si="141"/>
        <v>49.431215768849199</v>
      </c>
      <c r="I203" s="9">
        <f t="shared" si="142"/>
        <v>0.86322724815584206</v>
      </c>
      <c r="J203" s="9">
        <f t="shared" si="143"/>
        <v>49.459278080021924</v>
      </c>
      <c r="K203" s="9">
        <f t="shared" si="144"/>
        <v>-6.0359012715033646</v>
      </c>
      <c r="L203" s="9">
        <f t="shared" si="145"/>
        <v>-0.1053463505130459</v>
      </c>
      <c r="M203" s="11">
        <f t="shared" si="135"/>
        <v>2.1017073926288932E-2</v>
      </c>
      <c r="O203" s="15">
        <f t="shared" si="146"/>
        <v>0.87218974835432861</v>
      </c>
      <c r="P203" s="15">
        <f t="shared" si="147"/>
        <v>49.97279151528037</v>
      </c>
      <c r="Q203" s="15">
        <v>-6.0359012715033602</v>
      </c>
      <c r="R203" s="15">
        <f t="shared" si="148"/>
        <v>-0.10534635051304582</v>
      </c>
      <c r="S203" s="16">
        <f t="shared" si="136"/>
        <v>1.0575541949495726E-3</v>
      </c>
      <c r="U203" s="23">
        <f t="shared" si="165"/>
        <v>0.86746893223514709</v>
      </c>
      <c r="V203" s="23">
        <f t="shared" si="149"/>
        <v>49.702308675793937</v>
      </c>
      <c r="W203" s="23">
        <f t="shared" si="150"/>
        <v>5.1956937620176724E-3</v>
      </c>
      <c r="X203" s="23">
        <f t="shared" si="166"/>
        <v>4.7311615935017121E-2</v>
      </c>
      <c r="Y203" s="23">
        <f t="shared" si="167"/>
        <v>-5.0349594306275947E-3</v>
      </c>
      <c r="Z203" s="26">
        <f t="shared" si="151"/>
        <v>-0.10498944459691645</v>
      </c>
      <c r="AA203" s="23">
        <f t="shared" si="152"/>
        <v>-6.0154520688258968</v>
      </c>
      <c r="AB203" s="24">
        <f t="shared" si="168"/>
        <v>4.9866357421837204E-3</v>
      </c>
      <c r="AD203" s="33">
        <f t="shared" si="169"/>
        <v>0.87344138763449997</v>
      </c>
      <c r="AE203" s="33">
        <f t="shared" si="153"/>
        <v>50.044505163506976</v>
      </c>
      <c r="AF203" s="33">
        <f t="shared" si="154"/>
        <v>-7.7676163733519932E-4</v>
      </c>
      <c r="AG203" s="33">
        <f t="shared" si="170"/>
        <v>5.3474733968025101E-2</v>
      </c>
      <c r="AH203" s="33">
        <f t="shared" si="171"/>
        <v>7.5273168711476046E-4</v>
      </c>
      <c r="AI203" s="35">
        <f t="shared" si="137"/>
        <v>-0.10539970831981538</v>
      </c>
      <c r="AJ203" s="33">
        <f t="shared" si="155"/>
        <v>-6.0389584486353307</v>
      </c>
      <c r="AK203" s="37">
        <f t="shared" si="172"/>
        <v>-7.4550724529087731E-4</v>
      </c>
      <c r="AM203" s="41">
        <f t="shared" si="156"/>
        <v>-8.2171904763706782E-2</v>
      </c>
      <c r="AN203" s="41">
        <f t="shared" si="157"/>
        <v>-4.7081033375113428</v>
      </c>
      <c r="AO203" s="42">
        <f t="shared" si="158"/>
        <v>8.2171904763706782E-2</v>
      </c>
      <c r="AP203" s="41">
        <f t="shared" si="173"/>
        <v>-0.29133749454131341</v>
      </c>
      <c r="AQ203" s="41">
        <f t="shared" si="174"/>
        <v>-8.1235690992630116E-2</v>
      </c>
      <c r="AR203" s="43">
        <f t="shared" si="138"/>
        <v>0.74048335664443776</v>
      </c>
      <c r="AS203" s="41">
        <f t="shared" si="139"/>
        <v>42.42657113540681</v>
      </c>
      <c r="AU203" s="48">
        <f t="shared" si="175"/>
        <v>8.0501345180277836E-2</v>
      </c>
      <c r="AV203" s="48">
        <f t="shared" si="159"/>
        <v>4.6123873239557316</v>
      </c>
      <c r="AW203" s="49">
        <f t="shared" si="160"/>
        <v>0.65998201146415991</v>
      </c>
      <c r="AX203" s="48">
        <f t="shared" si="176"/>
        <v>-0.65544104694432959</v>
      </c>
      <c r="AY203" s="48">
        <f t="shared" si="177"/>
        <v>-0.66515830351610017</v>
      </c>
      <c r="AZ203" s="50">
        <f t="shared" si="161"/>
        <v>-5.7561375220801514E-3</v>
      </c>
      <c r="BA203" s="48">
        <f t="shared" si="162"/>
        <v>-0.32980238631208436</v>
      </c>
      <c r="BB203" s="52">
        <f t="shared" si="178"/>
        <v>-7.3087679558260038E-2</v>
      </c>
      <c r="BC203" s="44">
        <f t="shared" si="163"/>
        <v>8.0501345180277836E-2</v>
      </c>
    </row>
    <row r="204" spans="4:55" x14ac:dyDescent="0.3">
      <c r="D204">
        <f t="shared" si="164"/>
        <v>2.0200000000000009</v>
      </c>
      <c r="F204" s="5">
        <f t="shared" si="140"/>
        <v>0.86295610304497794</v>
      </c>
      <c r="G204" s="6">
        <f t="shared" si="141"/>
        <v>49.443742609533807</v>
      </c>
      <c r="I204" s="9">
        <f t="shared" si="142"/>
        <v>0.86343741889510495</v>
      </c>
      <c r="J204" s="9">
        <f t="shared" si="143"/>
        <v>49.471319976358835</v>
      </c>
      <c r="K204" s="9">
        <f t="shared" si="144"/>
        <v>-6.0359012715033646</v>
      </c>
      <c r="L204" s="9">
        <f t="shared" si="145"/>
        <v>-0.1053463505130459</v>
      </c>
      <c r="M204" s="11">
        <f t="shared" si="135"/>
        <v>2.0549022944490902E-2</v>
      </c>
      <c r="O204" s="15">
        <f t="shared" si="146"/>
        <v>0.87220032389627811</v>
      </c>
      <c r="P204" s="15">
        <f t="shared" si="147"/>
        <v>49.973397449200135</v>
      </c>
      <c r="Q204" s="15">
        <v>-6.0359012715033602</v>
      </c>
      <c r="R204" s="15">
        <f t="shared" si="148"/>
        <v>-0.10534635051304582</v>
      </c>
      <c r="S204" s="16">
        <f t="shared" si="136"/>
        <v>1.0340024255173219E-3</v>
      </c>
      <c r="U204" s="23">
        <f t="shared" si="165"/>
        <v>0.86751879859256897</v>
      </c>
      <c r="V204" s="23">
        <f t="shared" si="149"/>
        <v>49.705165807613902</v>
      </c>
      <c r="W204" s="23">
        <f t="shared" si="150"/>
        <v>5.145827404595793E-3</v>
      </c>
      <c r="X204" s="23">
        <f t="shared" si="166"/>
        <v>4.7363074209063077E-2</v>
      </c>
      <c r="Y204" s="23">
        <f t="shared" si="167"/>
        <v>-4.9866357421879393E-3</v>
      </c>
      <c r="Z204" s="26">
        <f t="shared" si="151"/>
        <v>-0.1049928700486068</v>
      </c>
      <c r="AA204" s="23">
        <f t="shared" si="152"/>
        <v>-6.01564833275068</v>
      </c>
      <c r="AB204" s="24">
        <f t="shared" si="168"/>
        <v>4.9387758467309695E-3</v>
      </c>
      <c r="AD204" s="33">
        <f t="shared" si="169"/>
        <v>0.87343393256204704</v>
      </c>
      <c r="AE204" s="33">
        <f t="shared" si="153"/>
        <v>50.044078019319464</v>
      </c>
      <c r="AF204" s="33">
        <f t="shared" si="154"/>
        <v>-7.6930656488227722E-4</v>
      </c>
      <c r="AG204" s="33">
        <f t="shared" si="170"/>
        <v>5.3467040902376278E-2</v>
      </c>
      <c r="AH204" s="33">
        <f t="shared" si="171"/>
        <v>7.4550724529220957E-4</v>
      </c>
      <c r="AI204" s="35">
        <f t="shared" si="137"/>
        <v>-0.10539919621121446</v>
      </c>
      <c r="AJ204" s="33">
        <f t="shared" si="155"/>
        <v>-6.0389291069738453</v>
      </c>
      <c r="AK204" s="37">
        <f t="shared" si="172"/>
        <v>-7.3835214099449153E-4</v>
      </c>
      <c r="AM204" s="41">
        <f t="shared" si="156"/>
        <v>-8.1366891311903999E-2</v>
      </c>
      <c r="AN204" s="41">
        <f t="shared" si="157"/>
        <v>-4.6619794642717851</v>
      </c>
      <c r="AO204" s="42">
        <f t="shared" si="158"/>
        <v>8.1366891311903999E-2</v>
      </c>
      <c r="AP204" s="41">
        <f t="shared" si="173"/>
        <v>-0.2905238256281944</v>
      </c>
      <c r="AQ204" s="41">
        <f t="shared" si="174"/>
        <v>-8.0501345180278294E-2</v>
      </c>
      <c r="AR204" s="43">
        <f t="shared" si="138"/>
        <v>0.7331675679387617</v>
      </c>
      <c r="AS204" s="41">
        <f t="shared" si="139"/>
        <v>42.007407318762098</v>
      </c>
      <c r="AU204" s="48">
        <f t="shared" si="175"/>
        <v>7.9770468384695231E-2</v>
      </c>
      <c r="AV204" s="48">
        <f t="shared" si="159"/>
        <v>4.5705111682248019</v>
      </c>
      <c r="AW204" s="49">
        <f t="shared" si="160"/>
        <v>0.65339709955406644</v>
      </c>
      <c r="AX204" s="48">
        <f t="shared" si="176"/>
        <v>-0.64890707594878894</v>
      </c>
      <c r="AY204" s="48">
        <f t="shared" si="177"/>
        <v>-0.65849119100934717</v>
      </c>
      <c r="AZ204" s="50">
        <f t="shared" si="161"/>
        <v>-5.687591255508273E-3</v>
      </c>
      <c r="BA204" s="48">
        <f t="shared" si="162"/>
        <v>-0.32587497453613706</v>
      </c>
      <c r="BB204" s="52">
        <f t="shared" si="178"/>
        <v>-7.2724554399346053E-2</v>
      </c>
      <c r="BC204" s="44">
        <f t="shared" si="163"/>
        <v>7.9770468384695231E-2</v>
      </c>
    </row>
    <row r="205" spans="4:55" x14ac:dyDescent="0.3">
      <c r="D205">
        <f t="shared" si="164"/>
        <v>2.0300000000000007</v>
      </c>
      <c r="F205" s="5">
        <f t="shared" si="140"/>
        <v>0.8631699224753423</v>
      </c>
      <c r="G205" s="6">
        <f t="shared" si="141"/>
        <v>49.455993560471576</v>
      </c>
      <c r="I205" s="9">
        <f t="shared" si="142"/>
        <v>0.86364290912454988</v>
      </c>
      <c r="J205" s="9">
        <f t="shared" si="143"/>
        <v>49.483093699237202</v>
      </c>
      <c r="K205" s="9">
        <f t="shared" si="144"/>
        <v>-6.0359012715033646</v>
      </c>
      <c r="L205" s="9">
        <f t="shared" si="145"/>
        <v>-0.1053463505130459</v>
      </c>
      <c r="M205" s="11">
        <f t="shared" si="135"/>
        <v>2.009139547465888E-2</v>
      </c>
      <c r="O205" s="15">
        <f t="shared" si="146"/>
        <v>0.87221066392053326</v>
      </c>
      <c r="P205" s="15">
        <f t="shared" si="147"/>
        <v>49.973989888950022</v>
      </c>
      <c r="Q205" s="15">
        <v>-6.0359012715033602</v>
      </c>
      <c r="R205" s="15">
        <f t="shared" si="148"/>
        <v>-0.10534635051304582</v>
      </c>
      <c r="S205" s="16">
        <f t="shared" si="136"/>
        <v>1.0109751548259549E-3</v>
      </c>
      <c r="U205" s="23">
        <f t="shared" si="165"/>
        <v>0.86756818635103627</v>
      </c>
      <c r="V205" s="23">
        <f t="shared" si="149"/>
        <v>49.707995517733693</v>
      </c>
      <c r="W205" s="23">
        <f t="shared" si="150"/>
        <v>5.0964396461284922E-3</v>
      </c>
      <c r="X205" s="23">
        <f t="shared" si="166"/>
        <v>4.7414038605524365E-2</v>
      </c>
      <c r="Y205" s="23">
        <f t="shared" si="167"/>
        <v>-4.9387758467300813E-3</v>
      </c>
      <c r="Z205" s="26">
        <f t="shared" si="151"/>
        <v>-0.10499626262407206</v>
      </c>
      <c r="AA205" s="23">
        <f t="shared" si="152"/>
        <v>-6.0158427130065197</v>
      </c>
      <c r="AB205" s="24">
        <f t="shared" si="168"/>
        <v>4.8913752929520271E-3</v>
      </c>
      <c r="AD205" s="33">
        <f t="shared" si="169"/>
        <v>0.8734265490406371</v>
      </c>
      <c r="AE205" s="33">
        <f t="shared" si="153"/>
        <v>50.043654974704729</v>
      </c>
      <c r="AF205" s="33">
        <f t="shared" si="154"/>
        <v>-7.6192304347233453E-4</v>
      </c>
      <c r="AG205" s="33">
        <f t="shared" si="170"/>
        <v>5.3459421671941558E-2</v>
      </c>
      <c r="AH205" s="33">
        <f t="shared" si="171"/>
        <v>7.3835214099426949E-4</v>
      </c>
      <c r="AI205" s="35">
        <f t="shared" si="137"/>
        <v>-0.10539868901764342</v>
      </c>
      <c r="AJ205" s="33">
        <f t="shared" si="155"/>
        <v>-6.0389000469228282</v>
      </c>
      <c r="AK205" s="37">
        <f t="shared" si="172"/>
        <v>-7.3126570875792218E-4</v>
      </c>
      <c r="AM205" s="41">
        <f t="shared" si="156"/>
        <v>-8.0569186628057052E-2</v>
      </c>
      <c r="AN205" s="41">
        <f t="shared" si="157"/>
        <v>-4.6162743525895378</v>
      </c>
      <c r="AO205" s="42">
        <f t="shared" si="158"/>
        <v>8.0569186628057052E-2</v>
      </c>
      <c r="AP205" s="41">
        <f t="shared" si="173"/>
        <v>-0.28971813376191385</v>
      </c>
      <c r="AQ205" s="41">
        <f t="shared" si="174"/>
        <v>-7.9770468384694759E-2</v>
      </c>
      <c r="AR205" s="43">
        <f t="shared" si="138"/>
        <v>0.72592139789587584</v>
      </c>
      <c r="AS205" s="41">
        <f t="shared" si="139"/>
        <v>41.592232357670603</v>
      </c>
      <c r="AU205" s="48">
        <f t="shared" si="175"/>
        <v>7.9043222840701768E-2</v>
      </c>
      <c r="AV205" s="48">
        <f t="shared" si="159"/>
        <v>4.5288430678842815</v>
      </c>
      <c r="AW205" s="49">
        <f t="shared" si="160"/>
        <v>0.64687817505517409</v>
      </c>
      <c r="AX205" s="48">
        <f t="shared" si="176"/>
        <v>-0.64243829419823717</v>
      </c>
      <c r="AY205" s="48">
        <f t="shared" si="177"/>
        <v>-0.65189244988923534</v>
      </c>
      <c r="AZ205" s="50">
        <f t="shared" si="161"/>
        <v>-5.6202994644276583E-3</v>
      </c>
      <c r="BA205" s="48">
        <f t="shared" si="162"/>
        <v>-0.32201943891134177</v>
      </c>
      <c r="BB205" s="52">
        <f t="shared" si="178"/>
        <v>-7.234637351361338E-2</v>
      </c>
      <c r="BC205" s="44">
        <f t="shared" si="163"/>
        <v>7.9043222840701768E-2</v>
      </c>
    </row>
    <row r="206" spans="4:55" x14ac:dyDescent="0.3">
      <c r="D206">
        <f t="shared" si="164"/>
        <v>2.0400000000000005</v>
      </c>
      <c r="F206" s="5">
        <f t="shared" si="140"/>
        <v>0.86337903277033912</v>
      </c>
      <c r="G206" s="6">
        <f t="shared" si="141"/>
        <v>49.467974697827628</v>
      </c>
      <c r="I206" s="9">
        <f t="shared" si="142"/>
        <v>0.86384382307929652</v>
      </c>
      <c r="J206" s="9">
        <f t="shared" si="143"/>
        <v>49.494605220889468</v>
      </c>
      <c r="K206" s="9">
        <f t="shared" si="144"/>
        <v>-6.0359012715033646</v>
      </c>
      <c r="L206" s="9">
        <f t="shared" si="145"/>
        <v>-0.1053463505130459</v>
      </c>
      <c r="M206" s="11">
        <f t="shared" si="135"/>
        <v>1.9643959384811449E-2</v>
      </c>
      <c r="O206" s="15">
        <f t="shared" si="146"/>
        <v>0.87222077367208151</v>
      </c>
      <c r="P206" s="15">
        <f t="shared" si="147"/>
        <v>49.974569135045662</v>
      </c>
      <c r="Q206" s="15">
        <v>-6.0359012715033602</v>
      </c>
      <c r="R206" s="15">
        <f t="shared" si="148"/>
        <v>-0.10534635051304582</v>
      </c>
      <c r="S206" s="16">
        <f t="shared" si="136"/>
        <v>9.8846070226965566E-4</v>
      </c>
      <c r="U206" s="23">
        <f t="shared" si="165"/>
        <v>0.86761710010396575</v>
      </c>
      <c r="V206" s="23">
        <f t="shared" si="149"/>
        <v>49.710798069336697</v>
      </c>
      <c r="W206" s="23">
        <f t="shared" si="150"/>
        <v>5.0475258931990119E-3</v>
      </c>
      <c r="X206" s="23">
        <f t="shared" si="166"/>
        <v>4.7464513864456354E-2</v>
      </c>
      <c r="Y206" s="23">
        <f t="shared" si="167"/>
        <v>-4.8913752929480303E-3</v>
      </c>
      <c r="Z206" s="26">
        <f t="shared" si="151"/>
        <v>-0.10499962263884599</v>
      </c>
      <c r="AA206" s="23">
        <f t="shared" si="152"/>
        <v>-6.0160352276721669</v>
      </c>
      <c r="AB206" s="24">
        <f t="shared" si="168"/>
        <v>4.8444296722505165E-3</v>
      </c>
      <c r="AD206" s="33">
        <f t="shared" si="169"/>
        <v>0.87341923638354957</v>
      </c>
      <c r="AE206" s="33">
        <f t="shared" si="153"/>
        <v>50.043235990316589</v>
      </c>
      <c r="AF206" s="33">
        <f t="shared" si="154"/>
        <v>-7.5461038638480193E-4</v>
      </c>
      <c r="AG206" s="33">
        <f t="shared" si="170"/>
        <v>5.3451875568077713E-2</v>
      </c>
      <c r="AH206" s="33">
        <f t="shared" si="171"/>
        <v>7.3126570875325925E-4</v>
      </c>
      <c r="AI206" s="35">
        <f t="shared" si="137"/>
        <v>-0.10539818669192959</v>
      </c>
      <c r="AJ206" s="33">
        <f t="shared" si="155"/>
        <v>-6.038871265779485</v>
      </c>
      <c r="AK206" s="37">
        <f t="shared" si="172"/>
        <v>-7.2424728949416206E-4</v>
      </c>
      <c r="AM206" s="41">
        <f t="shared" si="156"/>
        <v>-7.9778754399650029E-2</v>
      </c>
      <c r="AN206" s="41">
        <f t="shared" si="157"/>
        <v>-4.5709859219106947</v>
      </c>
      <c r="AO206" s="42">
        <f t="shared" si="158"/>
        <v>7.9778754399650029E-2</v>
      </c>
      <c r="AP206" s="41">
        <f t="shared" si="173"/>
        <v>-0.28892034621791735</v>
      </c>
      <c r="AQ206" s="41">
        <f t="shared" si="174"/>
        <v>-7.904322284070231E-2</v>
      </c>
      <c r="AR206" s="43">
        <f t="shared" si="138"/>
        <v>0.718744321155798</v>
      </c>
      <c r="AS206" s="41">
        <f t="shared" si="139"/>
        <v>41.181016151222636</v>
      </c>
      <c r="AU206" s="48">
        <f t="shared" si="175"/>
        <v>7.8319759105565628E-2</v>
      </c>
      <c r="AV206" s="48">
        <f t="shared" si="159"/>
        <v>4.4873916492302097</v>
      </c>
      <c r="AW206" s="49">
        <f t="shared" si="160"/>
        <v>0.64042456205023235</v>
      </c>
      <c r="AX206" s="48">
        <f t="shared" si="176"/>
        <v>-0.63603404857773482</v>
      </c>
      <c r="AY206" s="48">
        <f t="shared" si="177"/>
        <v>-0.64536130049417384</v>
      </c>
      <c r="AZ206" s="50">
        <f t="shared" si="161"/>
        <v>-5.5542204425241826E-3</v>
      </c>
      <c r="BA206" s="48">
        <f t="shared" si="162"/>
        <v>-0.31823338984192007</v>
      </c>
      <c r="BB206" s="52">
        <f t="shared" si="178"/>
        <v>-7.1954241589821707E-2</v>
      </c>
      <c r="BC206" s="44">
        <f t="shared" si="163"/>
        <v>7.8319759105565628E-2</v>
      </c>
    </row>
    <row r="207" spans="4:55" x14ac:dyDescent="0.3">
      <c r="D207">
        <f t="shared" si="164"/>
        <v>2.0500000000000003</v>
      </c>
      <c r="F207" s="5">
        <f t="shared" si="140"/>
        <v>0.8635835376434422</v>
      </c>
      <c r="G207" s="6">
        <f t="shared" si="141"/>
        <v>49.479691963946294</v>
      </c>
      <c r="I207" s="9">
        <f t="shared" si="142"/>
        <v>0.8640402626731446</v>
      </c>
      <c r="J207" s="9">
        <f t="shared" si="143"/>
        <v>49.505860380546224</v>
      </c>
      <c r="K207" s="9">
        <f t="shared" si="144"/>
        <v>-6.0359012715033646</v>
      </c>
      <c r="L207" s="9">
        <f t="shared" si="145"/>
        <v>-0.1053463505130459</v>
      </c>
      <c r="M207" s="11">
        <f t="shared" si="135"/>
        <v>1.9206487712555509E-2</v>
      </c>
      <c r="O207" s="15">
        <f t="shared" si="146"/>
        <v>0.87223065827910418</v>
      </c>
      <c r="P207" s="15">
        <f t="shared" si="147"/>
        <v>49.975135481310204</v>
      </c>
      <c r="Q207" s="15">
        <v>-6.0359012715033602</v>
      </c>
      <c r="R207" s="15">
        <f t="shared" si="148"/>
        <v>-0.10534635051304582</v>
      </c>
      <c r="S207" s="16">
        <f t="shared" si="136"/>
        <v>9.6644764737030542E-4</v>
      </c>
      <c r="U207" s="23">
        <f t="shared" si="165"/>
        <v>0.86766554440068822</v>
      </c>
      <c r="V207" s="23">
        <f t="shared" si="149"/>
        <v>49.713573723080373</v>
      </c>
      <c r="W207" s="23">
        <f t="shared" si="150"/>
        <v>4.9990815964765511E-3</v>
      </c>
      <c r="X207" s="23">
        <f t="shared" si="166"/>
        <v>4.7514504680421121E-2</v>
      </c>
      <c r="Y207" s="23">
        <f t="shared" si="167"/>
        <v>-4.8444296722460756E-3</v>
      </c>
      <c r="Z207" s="26">
        <f t="shared" si="151"/>
        <v>-0.10500295040543411</v>
      </c>
      <c r="AA207" s="23">
        <f t="shared" si="152"/>
        <v>-6.0162258946528713</v>
      </c>
      <c r="AB207" s="24">
        <f t="shared" si="168"/>
        <v>4.7979346183464333E-3</v>
      </c>
      <c r="AD207" s="33">
        <f t="shared" si="169"/>
        <v>0.8734119939106546</v>
      </c>
      <c r="AE207" s="33">
        <f t="shared" si="153"/>
        <v>50.04282102718647</v>
      </c>
      <c r="AF207" s="33">
        <f t="shared" si="154"/>
        <v>-7.4736791348983811E-4</v>
      </c>
      <c r="AG207" s="33">
        <f t="shared" si="170"/>
        <v>5.3444401888942818E-2</v>
      </c>
      <c r="AH207" s="33">
        <f t="shared" si="171"/>
        <v>7.2424728949638251E-4</v>
      </c>
      <c r="AI207" s="35">
        <f t="shared" si="137"/>
        <v>-0.10539768918735344</v>
      </c>
      <c r="AJ207" s="33">
        <f t="shared" si="155"/>
        <v>-6.0388427608669835</v>
      </c>
      <c r="AK207" s="37">
        <f t="shared" si="172"/>
        <v>-7.172962304304864E-4</v>
      </c>
      <c r="AM207" s="41">
        <f t="shared" si="156"/>
        <v>-7.8995556808594367E-2</v>
      </c>
      <c r="AN207" s="41">
        <f t="shared" si="157"/>
        <v>-4.5261120054183923</v>
      </c>
      <c r="AO207" s="42">
        <f t="shared" si="158"/>
        <v>7.8995556808594367E-2</v>
      </c>
      <c r="AP207" s="41">
        <f t="shared" si="173"/>
        <v>-0.28813039064983142</v>
      </c>
      <c r="AQ207" s="41">
        <f t="shared" si="174"/>
        <v>-7.8319759105566211E-2</v>
      </c>
      <c r="AR207" s="43">
        <f t="shared" si="138"/>
        <v>0.71163580898037748</v>
      </c>
      <c r="AS207" s="41">
        <f t="shared" si="139"/>
        <v>40.77372840495368</v>
      </c>
      <c r="AU207" s="48">
        <f t="shared" si="175"/>
        <v>7.7600216689667406E-2</v>
      </c>
      <c r="AV207" s="48">
        <f t="shared" si="159"/>
        <v>4.4461649056185948</v>
      </c>
      <c r="AW207" s="49">
        <f t="shared" si="160"/>
        <v>0.63403559229071005</v>
      </c>
      <c r="AX207" s="48">
        <f t="shared" si="176"/>
        <v>-0.62969369265482777</v>
      </c>
      <c r="AY207" s="48">
        <f t="shared" si="177"/>
        <v>-0.63889697595223005</v>
      </c>
      <c r="AZ207" s="50">
        <f t="shared" si="161"/>
        <v>-5.4893143920033971E-3</v>
      </c>
      <c r="BA207" s="48">
        <f t="shared" si="162"/>
        <v>-0.31451454708221621</v>
      </c>
      <c r="BB207" s="52">
        <f t="shared" si="178"/>
        <v>-7.1549203506942841E-2</v>
      </c>
      <c r="BC207" s="44">
        <f t="shared" si="163"/>
        <v>7.7600216689667406E-2</v>
      </c>
    </row>
    <row r="208" spans="4:55" x14ac:dyDescent="0.3">
      <c r="D208">
        <f t="shared" si="164"/>
        <v>2.06</v>
      </c>
      <c r="F208" s="5">
        <f t="shared" si="140"/>
        <v>0.8637835385239514</v>
      </c>
      <c r="G208" s="6">
        <f t="shared" si="141"/>
        <v>49.491151170298373</v>
      </c>
      <c r="I208" s="9">
        <f t="shared" si="142"/>
        <v>0.86423232755027013</v>
      </c>
      <c r="J208" s="9">
        <f t="shared" si="143"/>
        <v>49.516864887398221</v>
      </c>
      <c r="K208" s="9">
        <f t="shared" si="144"/>
        <v>-6.0359012715033646</v>
      </c>
      <c r="L208" s="9">
        <f t="shared" si="145"/>
        <v>-0.1053463505130459</v>
      </c>
      <c r="M208" s="11">
        <f t="shared" si="135"/>
        <v>1.8778758549957253E-2</v>
      </c>
      <c r="O208" s="15">
        <f t="shared" si="146"/>
        <v>0.87224032275557783</v>
      </c>
      <c r="P208" s="15">
        <f t="shared" si="147"/>
        <v>49.975689215023351</v>
      </c>
      <c r="Q208" s="15">
        <v>-6.0359012715033602</v>
      </c>
      <c r="R208" s="15">
        <f t="shared" si="148"/>
        <v>-0.10534635051304582</v>
      </c>
      <c r="S208" s="16">
        <f t="shared" si="136"/>
        <v>9.4492482398389477E-4</v>
      </c>
      <c r="U208" s="23">
        <f t="shared" si="165"/>
        <v>0.86771352374687172</v>
      </c>
      <c r="V208" s="23">
        <f t="shared" si="149"/>
        <v>49.716322737120485</v>
      </c>
      <c r="W208" s="23">
        <f t="shared" si="150"/>
        <v>4.9511022502930491E-3</v>
      </c>
      <c r="X208" s="23">
        <f t="shared" si="166"/>
        <v>4.7564015702924053E-2</v>
      </c>
      <c r="Y208" s="23">
        <f t="shared" si="167"/>
        <v>-4.7979346183502081E-3</v>
      </c>
      <c r="Z208" s="26">
        <f t="shared" si="151"/>
        <v>-0.10500624623334245</v>
      </c>
      <c r="AA208" s="23">
        <f t="shared" si="152"/>
        <v>-6.01641473168202</v>
      </c>
      <c r="AB208" s="24">
        <f t="shared" si="168"/>
        <v>4.7518858068615888E-3</v>
      </c>
      <c r="AD208" s="33">
        <f t="shared" si="169"/>
        <v>0.87340482094835026</v>
      </c>
      <c r="AE208" s="33">
        <f t="shared" si="153"/>
        <v>50.042410046719823</v>
      </c>
      <c r="AF208" s="33">
        <f t="shared" si="154"/>
        <v>-7.4019495118549106E-4</v>
      </c>
      <c r="AG208" s="33">
        <f t="shared" si="170"/>
        <v>5.3436999939430962E-2</v>
      </c>
      <c r="AH208" s="33">
        <f t="shared" si="171"/>
        <v>7.1729623043470525E-4</v>
      </c>
      <c r="AI208" s="35">
        <f t="shared" si="137"/>
        <v>-0.10539719645764312</v>
      </c>
      <c r="AJ208" s="33">
        <f t="shared" si="155"/>
        <v>-6.0388145295341413</v>
      </c>
      <c r="AK208" s="37">
        <f t="shared" si="172"/>
        <v>-7.1041188507714459E-4</v>
      </c>
      <c r="AM208" s="41">
        <f t="shared" si="156"/>
        <v>-7.8219554641697692E-2</v>
      </c>
      <c r="AN208" s="41">
        <f t="shared" si="157"/>
        <v>-4.4816503563622057</v>
      </c>
      <c r="AO208" s="42">
        <f t="shared" si="158"/>
        <v>7.8219554641697692E-2</v>
      </c>
      <c r="AP208" s="41">
        <f t="shared" si="173"/>
        <v>-0.28734819510341447</v>
      </c>
      <c r="AQ208" s="41">
        <f t="shared" si="174"/>
        <v>-7.7600216689667489E-2</v>
      </c>
      <c r="AR208" s="43">
        <f t="shared" si="138"/>
        <v>0.70459532972730954</v>
      </c>
      <c r="AS208" s="41">
        <f t="shared" si="139"/>
        <v>40.370338658003469</v>
      </c>
      <c r="AU208" s="48">
        <f t="shared" si="175"/>
        <v>7.6884724654597975E-2</v>
      </c>
      <c r="AV208" s="48">
        <f t="shared" si="159"/>
        <v>4.4051702317338899</v>
      </c>
      <c r="AW208" s="49">
        <f t="shared" si="160"/>
        <v>0.62771060507271159</v>
      </c>
      <c r="AX208" s="48">
        <f t="shared" si="176"/>
        <v>-0.62341658660410071</v>
      </c>
      <c r="AY208" s="48">
        <f t="shared" si="177"/>
        <v>-0.63249872179984568</v>
      </c>
      <c r="AZ208" s="50">
        <f t="shared" si="161"/>
        <v>-5.4255433282225374E-3</v>
      </c>
      <c r="BA208" s="48">
        <f t="shared" si="162"/>
        <v>-0.31086073427251332</v>
      </c>
      <c r="BB208" s="52">
        <f t="shared" si="178"/>
        <v>-7.1132247425473388E-2</v>
      </c>
      <c r="BC208" s="44">
        <f t="shared" si="163"/>
        <v>7.6884724654597975E-2</v>
      </c>
    </row>
    <row r="209" spans="4:55" x14ac:dyDescent="0.3">
      <c r="D209">
        <f t="shared" si="164"/>
        <v>2.0699999999999998</v>
      </c>
      <c r="F209" s="5">
        <f t="shared" si="140"/>
        <v>0.86397913460729914</v>
      </c>
      <c r="G209" s="6">
        <f t="shared" si="141"/>
        <v>49.502358000363486</v>
      </c>
      <c r="I209" s="9">
        <f t="shared" si="142"/>
        <v>0.86442011513576966</v>
      </c>
      <c r="J209" s="9">
        <f t="shared" si="143"/>
        <v>49.527624323492297</v>
      </c>
      <c r="K209" s="9">
        <f t="shared" si="144"/>
        <v>-6.0359012715033646</v>
      </c>
      <c r="L209" s="9">
        <f t="shared" si="145"/>
        <v>-0.1053463505130459</v>
      </c>
      <c r="M209" s="11">
        <f t="shared" si="135"/>
        <v>1.8360554930981321E-2</v>
      </c>
      <c r="O209" s="15">
        <f t="shared" si="146"/>
        <v>0.8722497720038177</v>
      </c>
      <c r="P209" s="15">
        <f t="shared" si="147"/>
        <v>49.976230617067067</v>
      </c>
      <c r="Q209" s="15">
        <v>-6.0359012715033602</v>
      </c>
      <c r="R209" s="15">
        <f t="shared" si="148"/>
        <v>-0.10534635051304582</v>
      </c>
      <c r="S209" s="16">
        <f t="shared" si="136"/>
        <v>9.2388131463816414E-4</v>
      </c>
      <c r="U209" s="23">
        <f t="shared" si="165"/>
        <v>0.86776104260494036</v>
      </c>
      <c r="V209" s="23">
        <f t="shared" si="149"/>
        <v>49.719045367135095</v>
      </c>
      <c r="W209" s="23">
        <f t="shared" si="150"/>
        <v>4.9035833922244088E-3</v>
      </c>
      <c r="X209" s="23">
        <f t="shared" si="166"/>
        <v>4.76130515368463E-2</v>
      </c>
      <c r="Y209" s="23">
        <f t="shared" si="167"/>
        <v>-4.7518858068640313E-3</v>
      </c>
      <c r="Z209" s="26">
        <f t="shared" si="151"/>
        <v>-0.1050095104291071</v>
      </c>
      <c r="AA209" s="23">
        <f t="shared" si="152"/>
        <v>-6.0166017563228387</v>
      </c>
      <c r="AB209" s="24">
        <f t="shared" si="168"/>
        <v>4.7062789549328077E-3</v>
      </c>
      <c r="AD209" s="33">
        <f t="shared" si="169"/>
        <v>0.87339771682949952</v>
      </c>
      <c r="AE209" s="33">
        <f t="shared" si="153"/>
        <v>50.042003010692511</v>
      </c>
      <c r="AF209" s="33">
        <f t="shared" si="154"/>
        <v>-7.3309083233474848E-4</v>
      </c>
      <c r="AG209" s="33">
        <f t="shared" si="170"/>
        <v>5.3429669031107616E-2</v>
      </c>
      <c r="AH209" s="33">
        <f t="shared" si="171"/>
        <v>7.1041188507425801E-4</v>
      </c>
      <c r="AI209" s="35">
        <f t="shared" si="137"/>
        <v>-0.10539670845697111</v>
      </c>
      <c r="AJ209" s="33">
        <f t="shared" si="155"/>
        <v>-6.0387865691552358</v>
      </c>
      <c r="AK209" s="37">
        <f t="shared" si="172"/>
        <v>-7.0359361314120683E-4</v>
      </c>
      <c r="AM209" s="41">
        <f t="shared" si="156"/>
        <v>-7.7450707395151711E-2</v>
      </c>
      <c r="AN209" s="41">
        <f t="shared" si="157"/>
        <v>-4.4375986540448666</v>
      </c>
      <c r="AO209" s="42">
        <f t="shared" si="158"/>
        <v>7.7450707395151711E-2</v>
      </c>
      <c r="AP209" s="41">
        <f t="shared" si="173"/>
        <v>-0.28657368802946298</v>
      </c>
      <c r="AQ209" s="41">
        <f t="shared" si="174"/>
        <v>-7.6884724654598113E-2</v>
      </c>
      <c r="AR209" s="43">
        <f t="shared" si="138"/>
        <v>0.69762234929691891</v>
      </c>
      <c r="AS209" s="41">
        <f t="shared" si="139"/>
        <v>39.970816308714767</v>
      </c>
      <c r="AU209" s="48">
        <f t="shared" si="175"/>
        <v>7.6173402180343242E-2</v>
      </c>
      <c r="AV209" s="48">
        <f t="shared" si="159"/>
        <v>4.3644144560862905</v>
      </c>
      <c r="AW209" s="49">
        <f t="shared" si="160"/>
        <v>0.62144894711657561</v>
      </c>
      <c r="AX209" s="48">
        <f t="shared" si="176"/>
        <v>-0.61720209713293495</v>
      </c>
      <c r="AY209" s="48">
        <f t="shared" si="177"/>
        <v>-0.62616579561359798</v>
      </c>
      <c r="AZ209" s="50">
        <f t="shared" si="161"/>
        <v>-5.3628709892133419E-3</v>
      </c>
      <c r="BA209" s="48">
        <f t="shared" si="162"/>
        <v>-0.30726987375507331</v>
      </c>
      <c r="BB209" s="52">
        <f t="shared" si="178"/>
        <v>-7.0704307719678311E-2</v>
      </c>
      <c r="BC209" s="44">
        <f t="shared" si="163"/>
        <v>7.6173402180343242E-2</v>
      </c>
    </row>
    <row r="210" spans="4:55" x14ac:dyDescent="0.3">
      <c r="D210">
        <f t="shared" si="164"/>
        <v>2.0799999999999996</v>
      </c>
      <c r="F210" s="5">
        <f t="shared" si="140"/>
        <v>0.86417042290424828</v>
      </c>
      <c r="G210" s="6">
        <f t="shared" si="141"/>
        <v>49.513318012448913</v>
      </c>
      <c r="I210" s="9">
        <f t="shared" si="142"/>
        <v>0.86460372068507951</v>
      </c>
      <c r="J210" s="9">
        <f t="shared" si="143"/>
        <v>49.538144146562928</v>
      </c>
      <c r="K210" s="9">
        <f t="shared" si="144"/>
        <v>-6.0359012715033646</v>
      </c>
      <c r="L210" s="9">
        <f t="shared" si="145"/>
        <v>-0.1053463505130459</v>
      </c>
      <c r="M210" s="11">
        <f t="shared" si="135"/>
        <v>1.7951664721433502E-2</v>
      </c>
      <c r="O210" s="15">
        <f t="shared" si="146"/>
        <v>0.87225901081696411</v>
      </c>
      <c r="P210" s="15">
        <f t="shared" si="147"/>
        <v>49.976759962068066</v>
      </c>
      <c r="Q210" s="15">
        <v>-6.0359012715033602</v>
      </c>
      <c r="R210" s="15">
        <f t="shared" si="148"/>
        <v>-0.10534635051304582</v>
      </c>
      <c r="S210" s="16">
        <f t="shared" si="136"/>
        <v>9.0330644499170276E-4</v>
      </c>
      <c r="U210" s="23">
        <f t="shared" si="165"/>
        <v>0.86780810539448971</v>
      </c>
      <c r="V210" s="23">
        <f t="shared" si="149"/>
        <v>49.721741866348388</v>
      </c>
      <c r="W210" s="23">
        <f t="shared" si="150"/>
        <v>4.8565206026750518E-3</v>
      </c>
      <c r="X210" s="23">
        <f t="shared" si="166"/>
        <v>4.7661616742873052E-2</v>
      </c>
      <c r="Y210" s="23">
        <f t="shared" si="167"/>
        <v>-4.7062789549356943E-3</v>
      </c>
      <c r="Z210" s="26">
        <f t="shared" si="151"/>
        <v>-0.10501274329632153</v>
      </c>
      <c r="AA210" s="23">
        <f t="shared" si="152"/>
        <v>-6.0167869859699517</v>
      </c>
      <c r="AB210" s="24">
        <f t="shared" si="168"/>
        <v>4.6611098207900437E-3</v>
      </c>
      <c r="AD210" s="33">
        <f t="shared" si="169"/>
        <v>0.87339068089336813</v>
      </c>
      <c r="AE210" s="33">
        <f t="shared" si="153"/>
        <v>50.041599881247265</v>
      </c>
      <c r="AF210" s="33">
        <f t="shared" si="154"/>
        <v>-7.2605489620336527E-4</v>
      </c>
      <c r="AG210" s="33">
        <f t="shared" si="170"/>
        <v>5.3422408482145585E-2</v>
      </c>
      <c r="AH210" s="33">
        <f t="shared" si="171"/>
        <v>7.0359361313832025E-4</v>
      </c>
      <c r="AI210" s="35">
        <f t="shared" si="137"/>
        <v>-0.10539622513995013</v>
      </c>
      <c r="AJ210" s="33">
        <f t="shared" si="155"/>
        <v>-6.0387588771297667</v>
      </c>
      <c r="AK210" s="37">
        <f t="shared" si="172"/>
        <v>-6.9684078046972076E-4</v>
      </c>
      <c r="AM210" s="41">
        <f t="shared" si="156"/>
        <v>-7.6688973373348276E-2</v>
      </c>
      <c r="AN210" s="41">
        <f t="shared" si="157"/>
        <v>-4.3939545094840042</v>
      </c>
      <c r="AO210" s="42">
        <f t="shared" si="158"/>
        <v>7.6688973373348276E-2</v>
      </c>
      <c r="AP210" s="41">
        <f t="shared" si="173"/>
        <v>-0.28580679829572952</v>
      </c>
      <c r="AQ210" s="41">
        <f t="shared" si="174"/>
        <v>-7.6173402180343408E-2</v>
      </c>
      <c r="AR210" s="43">
        <f t="shared" si="138"/>
        <v>0.69071633155313938</v>
      </c>
      <c r="AS210" s="41">
        <f t="shared" si="139"/>
        <v>39.575130638753741</v>
      </c>
      <c r="AU210" s="48">
        <f t="shared" si="175"/>
        <v>7.546635910314646E-2</v>
      </c>
      <c r="AV210" s="48">
        <f t="shared" si="159"/>
        <v>4.3239038718289731</v>
      </c>
      <c r="AW210" s="49">
        <f t="shared" si="160"/>
        <v>0.61524997244999291</v>
      </c>
      <c r="AX210" s="48">
        <f t="shared" si="176"/>
        <v>-0.61104959740843501</v>
      </c>
      <c r="AY210" s="48">
        <f t="shared" si="177"/>
        <v>-0.61989746665827017</v>
      </c>
      <c r="AZ210" s="50">
        <f t="shared" si="161"/>
        <v>-5.3012627498244536E-3</v>
      </c>
      <c r="BA210" s="48">
        <f t="shared" si="162"/>
        <v>-0.30373998165485838</v>
      </c>
      <c r="BB210" s="52">
        <f t="shared" si="178"/>
        <v>-7.0266267759311399E-2</v>
      </c>
      <c r="BC210" s="44">
        <f t="shared" si="163"/>
        <v>7.546635910314646E-2</v>
      </c>
    </row>
    <row r="211" spans="4:55" x14ac:dyDescent="0.3">
      <c r="D211">
        <f t="shared" si="164"/>
        <v>2.0899999999999994</v>
      </c>
      <c r="F211" s="5">
        <f t="shared" si="140"/>
        <v>0.86435749828900776</v>
      </c>
      <c r="G211" s="6">
        <f t="shared" si="141"/>
        <v>49.524036642446418</v>
      </c>
      <c r="I211" s="9">
        <f t="shared" si="142"/>
        <v>0.8647832373322939</v>
      </c>
      <c r="J211" s="9">
        <f t="shared" si="143"/>
        <v>49.548429692800653</v>
      </c>
      <c r="K211" s="9">
        <f t="shared" si="144"/>
        <v>-6.0359012715033646</v>
      </c>
      <c r="L211" s="9">
        <f t="shared" si="145"/>
        <v>-0.1053463505130459</v>
      </c>
      <c r="M211" s="11">
        <f t="shared" si="135"/>
        <v>1.7551880511355034E-2</v>
      </c>
      <c r="O211" s="15">
        <f t="shared" si="146"/>
        <v>0.87226804388141399</v>
      </c>
      <c r="P211" s="15">
        <f t="shared" si="147"/>
        <v>49.977277518537115</v>
      </c>
      <c r="Q211" s="15">
        <v>-6.0359012715033602</v>
      </c>
      <c r="R211" s="15">
        <f t="shared" si="148"/>
        <v>-0.10534635051304582</v>
      </c>
      <c r="S211" s="16">
        <f t="shared" si="136"/>
        <v>8.8318977842227753E-4</v>
      </c>
      <c r="U211" s="23">
        <f t="shared" si="165"/>
        <v>0.86785471649269763</v>
      </c>
      <c r="V211" s="23">
        <f t="shared" si="149"/>
        <v>49.724412485554176</v>
      </c>
      <c r="W211" s="23">
        <f t="shared" si="150"/>
        <v>4.8099095044671358E-3</v>
      </c>
      <c r="X211" s="23">
        <f t="shared" si="166"/>
        <v>4.7709715837917721E-2</v>
      </c>
      <c r="Y211" s="23">
        <f t="shared" si="167"/>
        <v>-4.661109820791598E-3</v>
      </c>
      <c r="Z211" s="26">
        <f t="shared" si="151"/>
        <v>-0.10501594513566576</v>
      </c>
      <c r="AA211" s="23">
        <f t="shared" si="152"/>
        <v>-6.0169704378510556</v>
      </c>
      <c r="AB211" s="24">
        <f t="shared" si="168"/>
        <v>4.6163742033826782E-3</v>
      </c>
      <c r="AD211" s="33">
        <f t="shared" si="169"/>
        <v>0.87338371248556346</v>
      </c>
      <c r="AE211" s="33">
        <f t="shared" si="153"/>
        <v>50.04120062089013</v>
      </c>
      <c r="AF211" s="33">
        <f t="shared" si="154"/>
        <v>-7.1908648839869027E-4</v>
      </c>
      <c r="AG211" s="33">
        <f t="shared" si="170"/>
        <v>5.3415217617261597E-2</v>
      </c>
      <c r="AH211" s="33">
        <f t="shared" si="171"/>
        <v>6.9684078046750031E-4</v>
      </c>
      <c r="AI211" s="35">
        <f t="shared" si="137"/>
        <v>-0.10539574646162815</v>
      </c>
      <c r="AJ211" s="33">
        <f t="shared" si="155"/>
        <v>-6.0387314508821728</v>
      </c>
      <c r="AK211" s="37">
        <f t="shared" si="172"/>
        <v>-6.9015275900063955E-4</v>
      </c>
      <c r="AM211" s="41">
        <f t="shared" si="156"/>
        <v>-7.5934309782316814E-2</v>
      </c>
      <c r="AN211" s="41">
        <f t="shared" si="157"/>
        <v>-4.3507154707657145</v>
      </c>
      <c r="AO211" s="42">
        <f t="shared" si="158"/>
        <v>7.5934309782316814E-2</v>
      </c>
      <c r="AP211" s="41">
        <f t="shared" si="173"/>
        <v>-0.28504745519790636</v>
      </c>
      <c r="AQ211" s="41">
        <f t="shared" si="174"/>
        <v>-7.5466359103146252E-2</v>
      </c>
      <c r="AR211" s="43">
        <f t="shared" si="138"/>
        <v>0.68387673872002186</v>
      </c>
      <c r="AS211" s="41">
        <f t="shared" si="139"/>
        <v>39.183250835828183</v>
      </c>
      <c r="AU211" s="48">
        <f t="shared" si="175"/>
        <v>7.4763696425553347E-2</v>
      </c>
      <c r="AV211" s="48">
        <f t="shared" si="159"/>
        <v>4.2836442659815255</v>
      </c>
      <c r="AW211" s="49">
        <f t="shared" si="160"/>
        <v>0.6091130422944685</v>
      </c>
      <c r="AX211" s="48">
        <f t="shared" si="176"/>
        <v>-0.60495846698549027</v>
      </c>
      <c r="AY211" s="48">
        <f t="shared" si="177"/>
        <v>-0.61369301555244116</v>
      </c>
      <c r="AZ211" s="50">
        <f t="shared" si="161"/>
        <v>-5.2406855401942454E-3</v>
      </c>
      <c r="BA211" s="48">
        <f t="shared" si="162"/>
        <v>-0.30026916320836822</v>
      </c>
      <c r="BB211" s="52">
        <f t="shared" si="178"/>
        <v>-6.9818962549498986E-2</v>
      </c>
      <c r="BC211" s="44">
        <f t="shared" si="163"/>
        <v>7.4763696425553347E-2</v>
      </c>
    </row>
    <row r="212" spans="4:55" x14ac:dyDescent="0.3">
      <c r="D212">
        <f t="shared" si="164"/>
        <v>2.0999999999999992</v>
      </c>
      <c r="F212" s="5">
        <f t="shared" si="140"/>
        <v>0.86454045354628739</v>
      </c>
      <c r="G212" s="6">
        <f t="shared" si="141"/>
        <v>49.534519206528273</v>
      </c>
      <c r="I212" s="9">
        <f t="shared" si="142"/>
        <v>0.86495875613740747</v>
      </c>
      <c r="J212" s="9">
        <f t="shared" si="143"/>
        <v>49.558486179558841</v>
      </c>
      <c r="K212" s="9">
        <f t="shared" si="144"/>
        <v>-6.0359012715033646</v>
      </c>
      <c r="L212" s="9">
        <f t="shared" si="145"/>
        <v>-0.1053463505130459</v>
      </c>
      <c r="M212" s="11">
        <f t="shared" si="135"/>
        <v>1.7160999509815422E-2</v>
      </c>
      <c r="O212" s="15">
        <f t="shared" si="146"/>
        <v>0.87227687577919821</v>
      </c>
      <c r="P212" s="15">
        <f t="shared" si="147"/>
        <v>49.977783549005238</v>
      </c>
      <c r="Q212" s="15">
        <v>-6.0359012715033602</v>
      </c>
      <c r="R212" s="15">
        <f t="shared" si="148"/>
        <v>-0.10534635051304582</v>
      </c>
      <c r="S212" s="16">
        <f t="shared" si="136"/>
        <v>8.635211107306251E-4</v>
      </c>
      <c r="U212" s="23">
        <f t="shared" si="165"/>
        <v>0.86790088023473144</v>
      </c>
      <c r="V212" s="23">
        <f t="shared" si="149"/>
        <v>49.72705747313924</v>
      </c>
      <c r="W212" s="23">
        <f t="shared" si="150"/>
        <v>4.7637457624333246E-3</v>
      </c>
      <c r="X212" s="23">
        <f t="shared" si="166"/>
        <v>4.7757353295542052E-2</v>
      </c>
      <c r="Y212" s="23">
        <f t="shared" si="167"/>
        <v>-4.6163742033811239E-3</v>
      </c>
      <c r="Z212" s="26">
        <f t="shared" si="151"/>
        <v>-0.10501911624493385</v>
      </c>
      <c r="AA212" s="23">
        <f t="shared" si="152"/>
        <v>-6.0171521290284913</v>
      </c>
      <c r="AB212" s="24">
        <f t="shared" si="168"/>
        <v>4.5720679419751775E-3</v>
      </c>
      <c r="AD212" s="33">
        <f t="shared" si="169"/>
        <v>0.87337681095797348</v>
      </c>
      <c r="AE212" s="33">
        <f t="shared" si="153"/>
        <v>50.040805192487028</v>
      </c>
      <c r="AF212" s="33">
        <f t="shared" si="154"/>
        <v>-7.1218496080871496E-4</v>
      </c>
      <c r="AG212" s="33">
        <f t="shared" si="170"/>
        <v>5.3408095767653513E-2</v>
      </c>
      <c r="AH212" s="33">
        <f t="shared" si="171"/>
        <v>6.9015275899753092E-4</v>
      </c>
      <c r="AI212" s="35">
        <f t="shared" si="137"/>
        <v>-0.10539527237748458</v>
      </c>
      <c r="AJ212" s="33">
        <f t="shared" si="155"/>
        <v>-6.0387042878616128</v>
      </c>
      <c r="AK212" s="37">
        <f t="shared" si="172"/>
        <v>-6.8352892670286991E-4</v>
      </c>
      <c r="AM212" s="41">
        <f t="shared" si="156"/>
        <v>-7.5186672818061281E-2</v>
      </c>
      <c r="AN212" s="41">
        <f t="shared" si="157"/>
        <v>-4.3078790281058987</v>
      </c>
      <c r="AO212" s="42">
        <f t="shared" si="158"/>
        <v>7.5186672818061281E-2</v>
      </c>
      <c r="AP212" s="41">
        <f t="shared" si="173"/>
        <v>-0.28429558846972575</v>
      </c>
      <c r="AQ212" s="41">
        <f t="shared" si="174"/>
        <v>-7.476369642555325E-2</v>
      </c>
      <c r="AR212" s="43">
        <f t="shared" si="138"/>
        <v>0.67710303175505959</v>
      </c>
      <c r="AS212" s="41">
        <f t="shared" si="139"/>
        <v>38.795146015077471</v>
      </c>
      <c r="AU212" s="48">
        <f t="shared" si="175"/>
        <v>7.4065506800058356E-2</v>
      </c>
      <c r="AV212" s="48">
        <f t="shared" si="159"/>
        <v>4.2436409471408432</v>
      </c>
      <c r="AW212" s="49">
        <f t="shared" si="160"/>
        <v>0.60303752495500129</v>
      </c>
      <c r="AX212" s="48">
        <f t="shared" si="176"/>
        <v>-0.5989280917359403</v>
      </c>
      <c r="AY212" s="48">
        <f t="shared" si="177"/>
        <v>-0.60755173394672068</v>
      </c>
      <c r="AZ212" s="50">
        <f t="shared" si="161"/>
        <v>-5.1811077683883711E-3</v>
      </c>
      <c r="BA212" s="48">
        <f t="shared" si="162"/>
        <v>-0.29685560833109809</v>
      </c>
      <c r="BB212" s="52">
        <f t="shared" si="178"/>
        <v>-6.9363181235002874E-2</v>
      </c>
      <c r="BC212" s="44">
        <f t="shared" si="163"/>
        <v>7.4065506800058356E-2</v>
      </c>
    </row>
    <row r="213" spans="4:55" x14ac:dyDescent="0.3">
      <c r="D213">
        <f t="shared" si="164"/>
        <v>2.109999999999999</v>
      </c>
      <c r="F213" s="5">
        <f t="shared" si="140"/>
        <v>0.86471937941731669</v>
      </c>
      <c r="G213" s="6">
        <f t="shared" si="141"/>
        <v>49.544770903783956</v>
      </c>
      <c r="I213" s="9">
        <f t="shared" si="142"/>
        <v>0.8651303661325056</v>
      </c>
      <c r="J213" s="9">
        <f t="shared" si="143"/>
        <v>49.568318708000227</v>
      </c>
      <c r="K213" s="9">
        <f t="shared" si="144"/>
        <v>-6.0359012715033646</v>
      </c>
      <c r="L213" s="9">
        <f t="shared" si="145"/>
        <v>-0.1053463505130459</v>
      </c>
      <c r="M213" s="11">
        <f t="shared" si="135"/>
        <v>1.6778823442044066E-2</v>
      </c>
      <c r="O213" s="15">
        <f t="shared" si="146"/>
        <v>0.87228551099030549</v>
      </c>
      <c r="P213" s="15">
        <f t="shared" si="147"/>
        <v>49.978278310156888</v>
      </c>
      <c r="Q213" s="15">
        <v>-6.0359012715033602</v>
      </c>
      <c r="R213" s="15">
        <f t="shared" si="148"/>
        <v>-0.10534635051304582</v>
      </c>
      <c r="S213" s="16">
        <f t="shared" si="136"/>
        <v>8.442904649663685E-4</v>
      </c>
      <c r="U213" s="23">
        <f t="shared" si="165"/>
        <v>0.86794660091415121</v>
      </c>
      <c r="V213" s="23">
        <f t="shared" si="149"/>
        <v>49.729677075106466</v>
      </c>
      <c r="W213" s="23">
        <f t="shared" si="150"/>
        <v>4.7180250830135551E-3</v>
      </c>
      <c r="X213" s="23">
        <f t="shared" si="166"/>
        <v>4.7804533546372187E-2</v>
      </c>
      <c r="Y213" s="23">
        <f t="shared" si="167"/>
        <v>-4.5720679419769539E-3</v>
      </c>
      <c r="Z213" s="26">
        <f t="shared" si="151"/>
        <v>-0.1050222569190616</v>
      </c>
      <c r="AA213" s="23">
        <f t="shared" si="152"/>
        <v>-6.0173320764008382</v>
      </c>
      <c r="AB213" s="24">
        <f t="shared" si="168"/>
        <v>4.5281869157638432E-3</v>
      </c>
      <c r="AD213" s="33">
        <f t="shared" si="169"/>
        <v>0.87336997566870644</v>
      </c>
      <c r="AE213" s="33">
        <f t="shared" si="153"/>
        <v>50.04041355926028</v>
      </c>
      <c r="AF213" s="33">
        <f t="shared" si="154"/>
        <v>-7.0534967154167738E-4</v>
      </c>
      <c r="AG213" s="33">
        <f t="shared" si="170"/>
        <v>5.3401042270938094E-2</v>
      </c>
      <c r="AH213" s="33">
        <f t="shared" si="171"/>
        <v>6.8352892670375809E-4</v>
      </c>
      <c r="AI213" s="35">
        <f t="shared" si="137"/>
        <v>-0.10539480284342635</v>
      </c>
      <c r="AJ213" s="33">
        <f t="shared" si="155"/>
        <v>-6.0386773855417379</v>
      </c>
      <c r="AK213" s="37">
        <f t="shared" si="172"/>
        <v>-6.7696866750810436E-4</v>
      </c>
      <c r="AM213" s="41">
        <f t="shared" si="156"/>
        <v>-7.4446017750060697E-2</v>
      </c>
      <c r="AN213" s="41">
        <f t="shared" si="157"/>
        <v>-4.2654426186344905</v>
      </c>
      <c r="AO213" s="42">
        <f t="shared" si="158"/>
        <v>7.4446017750060697E-2</v>
      </c>
      <c r="AP213" s="41">
        <f t="shared" si="173"/>
        <v>-0.28355112829222512</v>
      </c>
      <c r="AQ213" s="41">
        <f t="shared" si="174"/>
        <v>-7.4065506800058412E-2</v>
      </c>
      <c r="AR213" s="43">
        <f t="shared" si="138"/>
        <v>0.67039467070054859</v>
      </c>
      <c r="AS213" s="41">
        <f t="shared" si="139"/>
        <v>38.41078523920406</v>
      </c>
      <c r="AU213" s="48">
        <f t="shared" si="175"/>
        <v>7.3371874987708322E-2</v>
      </c>
      <c r="AV213" s="48">
        <f t="shared" si="159"/>
        <v>4.2038987717571761</v>
      </c>
      <c r="AW213" s="49">
        <f t="shared" si="160"/>
        <v>0.59702279571284023</v>
      </c>
      <c r="AX213" s="48">
        <f t="shared" si="176"/>
        <v>-0.59295786377881188</v>
      </c>
      <c r="AY213" s="48">
        <f t="shared" si="177"/>
        <v>-0.60147292421610654</v>
      </c>
      <c r="AZ213" s="50">
        <f t="shared" si="161"/>
        <v>-5.1224992469761643E-3</v>
      </c>
      <c r="BA213" s="48">
        <f t="shared" si="162"/>
        <v>-0.29349758741067655</v>
      </c>
      <c r="BB213" s="52">
        <f t="shared" si="178"/>
        <v>-6.8899669476049197E-2</v>
      </c>
      <c r="BC213" s="44">
        <f t="shared" si="163"/>
        <v>7.3371874987708322E-2</v>
      </c>
    </row>
    <row r="214" spans="4:55" x14ac:dyDescent="0.3">
      <c r="D214">
        <f t="shared" si="164"/>
        <v>2.1199999999999988</v>
      </c>
      <c r="F214" s="5">
        <f t="shared" si="140"/>
        <v>0.8648943646448507</v>
      </c>
      <c r="G214" s="6">
        <f t="shared" si="141"/>
        <v>49.554796818798792</v>
      </c>
      <c r="I214" s="9">
        <f t="shared" si="142"/>
        <v>0.86529815436692603</v>
      </c>
      <c r="J214" s="9">
        <f t="shared" si="143"/>
        <v>49.577932265684467</v>
      </c>
      <c r="K214" s="9">
        <f t="shared" si="144"/>
        <v>-6.0359012715033646</v>
      </c>
      <c r="L214" s="9">
        <f t="shared" si="145"/>
        <v>-0.1053463505130459</v>
      </c>
      <c r="M214" s="11">
        <f t="shared" si="135"/>
        <v>1.6405158448857815E-2</v>
      </c>
      <c r="O214" s="15">
        <f t="shared" si="146"/>
        <v>0.87229395389495512</v>
      </c>
      <c r="P214" s="15">
        <f t="shared" si="147"/>
        <v>49.978762052960143</v>
      </c>
      <c r="Q214" s="15">
        <v>-6.0359012715033602</v>
      </c>
      <c r="R214" s="15">
        <f t="shared" si="148"/>
        <v>-0.10534635051304582</v>
      </c>
      <c r="S214" s="16">
        <f t="shared" si="136"/>
        <v>8.2548808636540016E-4</v>
      </c>
      <c r="U214" s="23">
        <f t="shared" si="165"/>
        <v>0.86799188278330885</v>
      </c>
      <c r="V214" s="23">
        <f t="shared" si="149"/>
        <v>49.732271535097659</v>
      </c>
      <c r="W214" s="23">
        <f t="shared" si="150"/>
        <v>4.6727432138559122E-3</v>
      </c>
      <c r="X214" s="23">
        <f t="shared" si="166"/>
        <v>4.7851260978510744E-2</v>
      </c>
      <c r="Y214" s="23">
        <f t="shared" si="167"/>
        <v>-4.5281869157642873E-3</v>
      </c>
      <c r="Z214" s="26">
        <f t="shared" si="151"/>
        <v>-0.10502536745015449</v>
      </c>
      <c r="AA214" s="23">
        <f t="shared" si="152"/>
        <v>-6.0175102967045051</v>
      </c>
      <c r="AB214" s="24">
        <f t="shared" si="168"/>
        <v>4.4847270435015574E-3</v>
      </c>
      <c r="AD214" s="33">
        <f t="shared" si="169"/>
        <v>0.87336320598203132</v>
      </c>
      <c r="AE214" s="33">
        <f t="shared" si="153"/>
        <v>50.040025684785164</v>
      </c>
      <c r="AF214" s="33">
        <f t="shared" si="154"/>
        <v>-6.9857998486655415E-4</v>
      </c>
      <c r="AG214" s="33">
        <f t="shared" si="170"/>
        <v>5.3394056471089427E-2</v>
      </c>
      <c r="AH214" s="33">
        <f t="shared" si="171"/>
        <v>6.7696866751232321E-4</v>
      </c>
      <c r="AI214" s="35">
        <f t="shared" si="137"/>
        <v>-0.10539433781578331</v>
      </c>
      <c r="AJ214" s="33">
        <f t="shared" si="155"/>
        <v>-6.0386507414204349</v>
      </c>
      <c r="AK214" s="37">
        <f t="shared" si="172"/>
        <v>-6.7047137126752254E-4</v>
      </c>
      <c r="AM214" s="41">
        <f t="shared" si="156"/>
        <v>-7.3712299000183612E-2</v>
      </c>
      <c r="AN214" s="41">
        <f t="shared" si="157"/>
        <v>-4.2234036309169189</v>
      </c>
      <c r="AO214" s="42">
        <f t="shared" si="158"/>
        <v>7.3712299000183612E-2</v>
      </c>
      <c r="AP214" s="41">
        <f t="shared" si="173"/>
        <v>-0.28281400530222328</v>
      </c>
      <c r="AQ214" s="41">
        <f t="shared" si="174"/>
        <v>-7.337187498770853E-2</v>
      </c>
      <c r="AR214" s="43">
        <f t="shared" si="138"/>
        <v>0.66375111501412754</v>
      </c>
      <c r="AS214" s="41">
        <f t="shared" si="139"/>
        <v>38.030137537411996</v>
      </c>
      <c r="AU214" s="48">
        <f t="shared" si="175"/>
        <v>7.2682878292947825E-2</v>
      </c>
      <c r="AV214" s="48">
        <f t="shared" si="159"/>
        <v>4.1644221690489358</v>
      </c>
      <c r="AW214" s="49">
        <f t="shared" si="160"/>
        <v>0.5910682367211797</v>
      </c>
      <c r="AX214" s="48">
        <f t="shared" si="176"/>
        <v>-0.58704718141160006</v>
      </c>
      <c r="AY214" s="48">
        <f t="shared" si="177"/>
        <v>-0.59545589916605302</v>
      </c>
      <c r="AZ214" s="50">
        <f t="shared" si="161"/>
        <v>-5.0648311233290055E-3</v>
      </c>
      <c r="BA214" s="48">
        <f t="shared" si="162"/>
        <v>-0.29019344731325575</v>
      </c>
      <c r="BB214" s="52">
        <f t="shared" si="178"/>
        <v>-6.8429131702584911E-2</v>
      </c>
      <c r="BC214" s="44">
        <f t="shared" si="163"/>
        <v>7.2682878292947825E-2</v>
      </c>
    </row>
    <row r="215" spans="4:55" x14ac:dyDescent="0.3">
      <c r="D215">
        <f t="shared" si="164"/>
        <v>2.1299999999999986</v>
      </c>
      <c r="F215" s="5">
        <f t="shared" si="140"/>
        <v>0.86506549601718374</v>
      </c>
      <c r="G215" s="6">
        <f t="shared" si="141"/>
        <v>49.564601924175754</v>
      </c>
      <c r="I215" s="9">
        <f t="shared" si="142"/>
        <v>0.86546220595141465</v>
      </c>
      <c r="J215" s="9">
        <f t="shared" si="143"/>
        <v>49.587331729098096</v>
      </c>
      <c r="K215" s="9">
        <f t="shared" si="144"/>
        <v>-6.0359012715033646</v>
      </c>
      <c r="L215" s="9">
        <f t="shared" si="145"/>
        <v>-0.1053463505130459</v>
      </c>
      <c r="M215" s="11">
        <f t="shared" si="135"/>
        <v>1.6039814988323187E-2</v>
      </c>
      <c r="O215" s="15">
        <f t="shared" si="146"/>
        <v>0.87230220877581877</v>
      </c>
      <c r="P215" s="15">
        <f t="shared" si="147"/>
        <v>49.979235022794015</v>
      </c>
      <c r="Q215" s="15">
        <v>-6.0359012715033602</v>
      </c>
      <c r="R215" s="15">
        <f t="shared" si="148"/>
        <v>-0.10534635051304582</v>
      </c>
      <c r="S215" s="16">
        <f t="shared" si="136"/>
        <v>8.0710443740228399E-4</v>
      </c>
      <c r="U215" s="23">
        <f t="shared" si="165"/>
        <v>0.86803673005374382</v>
      </c>
      <c r="V215" s="23">
        <f t="shared" si="149"/>
        <v>49.734841094416268</v>
      </c>
      <c r="W215" s="23">
        <f t="shared" si="150"/>
        <v>4.6278959434209455E-3</v>
      </c>
      <c r="X215" s="23">
        <f t="shared" si="166"/>
        <v>4.7897539937944954E-2</v>
      </c>
      <c r="Y215" s="23">
        <f t="shared" si="167"/>
        <v>-4.4847270434966724E-3</v>
      </c>
      <c r="Z215" s="26">
        <f t="shared" si="151"/>
        <v>-0.10502844812751432</v>
      </c>
      <c r="AA215" s="23">
        <f t="shared" si="152"/>
        <v>-6.0176868065152638</v>
      </c>
      <c r="AB215" s="24">
        <f t="shared" si="168"/>
        <v>4.4416842831078718E-3</v>
      </c>
      <c r="AD215" s="33">
        <f t="shared" si="169"/>
        <v>0.87335650126831865</v>
      </c>
      <c r="AE215" s="33">
        <f t="shared" si="153"/>
        <v>50.039641532986586</v>
      </c>
      <c r="AF215" s="33">
        <f t="shared" si="154"/>
        <v>-6.9187527115388558E-4</v>
      </c>
      <c r="AG215" s="33">
        <f t="shared" si="170"/>
        <v>5.3387137718377886E-2</v>
      </c>
      <c r="AH215" s="33">
        <f t="shared" si="171"/>
        <v>6.7047137126685641E-4</v>
      </c>
      <c r="AI215" s="35">
        <f t="shared" si="137"/>
        <v>-0.10539387725130434</v>
      </c>
      <c r="AJ215" s="33">
        <f t="shared" si="155"/>
        <v>-6.0386243530195962</v>
      </c>
      <c r="AK215" s="37">
        <f t="shared" si="172"/>
        <v>-6.6403643368917464E-4</v>
      </c>
      <c r="AM215" s="41">
        <f t="shared" si="156"/>
        <v>-7.2985470217254128E-2</v>
      </c>
      <c r="AN215" s="41">
        <f t="shared" si="157"/>
        <v>-4.1817594092264292</v>
      </c>
      <c r="AO215" s="42">
        <f t="shared" si="158"/>
        <v>7.2985470217254128E-2</v>
      </c>
      <c r="AP215" s="41">
        <f t="shared" si="173"/>
        <v>-0.28208415060005076</v>
      </c>
      <c r="AQ215" s="41">
        <f t="shared" si="174"/>
        <v>-7.2682878292948394E-2</v>
      </c>
      <c r="AR215" s="43">
        <f t="shared" si="138"/>
        <v>0.65717182387959283</v>
      </c>
      <c r="AS215" s="41">
        <f t="shared" si="139"/>
        <v>37.653171923215318</v>
      </c>
      <c r="AU215" s="48">
        <f t="shared" si="175"/>
        <v>7.1998586975921972E-2</v>
      </c>
      <c r="AV215" s="48">
        <f t="shared" si="159"/>
        <v>4.1252151646259057</v>
      </c>
      <c r="AW215" s="49">
        <f t="shared" si="160"/>
        <v>0.58517323690367085</v>
      </c>
      <c r="AX215" s="48">
        <f t="shared" si="176"/>
        <v>-0.58119544904256337</v>
      </c>
      <c r="AY215" s="48">
        <f t="shared" si="177"/>
        <v>-0.58949998175088503</v>
      </c>
      <c r="AZ215" s="50">
        <f t="shared" si="161"/>
        <v>-5.0080758134605219E-3</v>
      </c>
      <c r="BA215" s="48">
        <f t="shared" si="162"/>
        <v>-0.28694160759283444</v>
      </c>
      <c r="BB215" s="52">
        <f t="shared" si="178"/>
        <v>-6.7952233252991989E-2</v>
      </c>
      <c r="BC215" s="44">
        <f t="shared" si="163"/>
        <v>7.1998586975921972E-2</v>
      </c>
    </row>
    <row r="216" spans="4:55" x14ac:dyDescent="0.3">
      <c r="D216">
        <f t="shared" si="164"/>
        <v>2.1399999999999983</v>
      </c>
      <c r="F216" s="5">
        <f t="shared" si="140"/>
        <v>0.86523285841119424</v>
      </c>
      <c r="G216" s="6">
        <f t="shared" si="141"/>
        <v>49.574191083001764</v>
      </c>
      <c r="I216" s="9">
        <f t="shared" si="142"/>
        <v>0.86562260410129788</v>
      </c>
      <c r="J216" s="9">
        <f t="shared" si="143"/>
        <v>49.596521866128114</v>
      </c>
      <c r="K216" s="9">
        <f t="shared" si="144"/>
        <v>-6.0359012715033646</v>
      </c>
      <c r="L216" s="9">
        <f t="shared" si="145"/>
        <v>-0.1053463505130459</v>
      </c>
      <c r="M216" s="11">
        <f t="shared" si="135"/>
        <v>1.568260773961283E-2</v>
      </c>
      <c r="O216" s="15">
        <f t="shared" si="146"/>
        <v>0.87231027982019282</v>
      </c>
      <c r="P216" s="15">
        <f t="shared" si="147"/>
        <v>49.979697459572911</v>
      </c>
      <c r="Q216" s="15">
        <v>-6.0359012715033602</v>
      </c>
      <c r="R216" s="15">
        <f t="shared" si="148"/>
        <v>-0.10534635051304582</v>
      </c>
      <c r="S216" s="16">
        <f t="shared" si="136"/>
        <v>7.891301929541239E-4</v>
      </c>
      <c r="U216" s="23">
        <f t="shared" si="165"/>
        <v>0.8680811468965749</v>
      </c>
      <c r="V216" s="23">
        <f t="shared" si="149"/>
        <v>49.737385992049781</v>
      </c>
      <c r="W216" s="23">
        <f t="shared" si="150"/>
        <v>4.5834791005898712E-3</v>
      </c>
      <c r="X216" s="23">
        <f t="shared" si="166"/>
        <v>4.7943374728950855E-2</v>
      </c>
      <c r="Y216" s="23">
        <f t="shared" si="167"/>
        <v>-4.4416842831074277E-3</v>
      </c>
      <c r="Z216" s="26">
        <f t="shared" si="151"/>
        <v>-0.10503149923766592</v>
      </c>
      <c r="AA216" s="23">
        <f t="shared" si="152"/>
        <v>-6.0178616222497805</v>
      </c>
      <c r="AB216" s="24">
        <f t="shared" si="168"/>
        <v>4.3990546312910883E-3</v>
      </c>
      <c r="AD216" s="33">
        <f t="shared" si="169"/>
        <v>0.87334986090398181</v>
      </c>
      <c r="AE216" s="33">
        <f t="shared" si="153"/>
        <v>50.039261068135659</v>
      </c>
      <c r="AF216" s="33">
        <f t="shared" si="154"/>
        <v>-6.8523490681704491E-4</v>
      </c>
      <c r="AG216" s="33">
        <f t="shared" si="170"/>
        <v>5.3380285369309714E-2</v>
      </c>
      <c r="AH216" s="33">
        <f t="shared" si="171"/>
        <v>6.6403643368406762E-4</v>
      </c>
      <c r="AI216" s="35">
        <f t="shared" si="137"/>
        <v>-0.10539342110715376</v>
      </c>
      <c r="AJ216" s="33">
        <f t="shared" si="155"/>
        <v>-6.0385982178849185</v>
      </c>
      <c r="AK216" s="37">
        <f t="shared" si="172"/>
        <v>-6.5766325627536482E-4</v>
      </c>
      <c r="AM216" s="41">
        <f t="shared" si="156"/>
        <v>-7.2265484347494913E-2</v>
      </c>
      <c r="AN216" s="41">
        <f t="shared" si="157"/>
        <v>-4.14050725758017</v>
      </c>
      <c r="AO216" s="42">
        <f t="shared" si="158"/>
        <v>7.2265484347494913E-2</v>
      </c>
      <c r="AP216" s="41">
        <f t="shared" si="173"/>
        <v>-0.28136149575657582</v>
      </c>
      <c r="AQ216" s="41">
        <f t="shared" si="174"/>
        <v>-7.1998586975921541E-2</v>
      </c>
      <c r="AR216" s="43">
        <f t="shared" si="138"/>
        <v>0.65065625649902759</v>
      </c>
      <c r="AS216" s="41">
        <f t="shared" si="139"/>
        <v>37.279857411175819</v>
      </c>
      <c r="AU216" s="48">
        <f t="shared" si="175"/>
        <v>7.1319064643392049E-2</v>
      </c>
      <c r="AV216" s="48">
        <f t="shared" si="159"/>
        <v>4.0862814028870558</v>
      </c>
      <c r="AW216" s="49">
        <f t="shared" si="160"/>
        <v>0.57933719185563559</v>
      </c>
      <c r="AX216" s="48">
        <f t="shared" si="176"/>
        <v>-0.57540207712400704</v>
      </c>
      <c r="AY216" s="48">
        <f t="shared" si="177"/>
        <v>-0.58360450480352544</v>
      </c>
      <c r="AZ216" s="50">
        <f t="shared" si="161"/>
        <v>-4.9522069392394785E-3</v>
      </c>
      <c r="BA216" s="48">
        <f t="shared" si="162"/>
        <v>-0.28374055689382144</v>
      </c>
      <c r="BB216" s="52">
        <f t="shared" si="178"/>
        <v>-6.7469602402953383E-2</v>
      </c>
      <c r="BC216" s="44">
        <f t="shared" si="163"/>
        <v>7.1319064643392049E-2</v>
      </c>
    </row>
    <row r="217" spans="4:55" x14ac:dyDescent="0.3">
      <c r="D217">
        <f t="shared" si="164"/>
        <v>2.1499999999999981</v>
      </c>
      <c r="F217" s="5">
        <f t="shared" si="140"/>
        <v>0.86539653483444201</v>
      </c>
      <c r="G217" s="6">
        <f t="shared" si="141"/>
        <v>49.583569051259659</v>
      </c>
      <c r="I217" s="9">
        <f t="shared" si="142"/>
        <v>0.86577943017869397</v>
      </c>
      <c r="J217" s="9">
        <f t="shared" si="143"/>
        <v>49.6055073384805</v>
      </c>
      <c r="K217" s="9">
        <f t="shared" si="144"/>
        <v>-6.0359012715033646</v>
      </c>
      <c r="L217" s="9">
        <f t="shared" si="145"/>
        <v>-0.1053463505130459</v>
      </c>
      <c r="M217" s="11">
        <f t="shared" si="135"/>
        <v>1.5333355509001612E-2</v>
      </c>
      <c r="O217" s="15">
        <f t="shared" si="146"/>
        <v>0.8723181711221224</v>
      </c>
      <c r="P217" s="15">
        <f t="shared" si="147"/>
        <v>49.980149597868341</v>
      </c>
      <c r="Q217" s="15">
        <v>-6.0359012715033602</v>
      </c>
      <c r="R217" s="15">
        <f t="shared" si="148"/>
        <v>-0.10534635051304582</v>
      </c>
      <c r="S217" s="16">
        <f t="shared" si="136"/>
        <v>7.7155623556701691E-4</v>
      </c>
      <c r="U217" s="23">
        <f t="shared" si="165"/>
        <v>0.86812513744288777</v>
      </c>
      <c r="V217" s="23">
        <f t="shared" si="149"/>
        <v>49.739906464691984</v>
      </c>
      <c r="W217" s="23">
        <f t="shared" si="150"/>
        <v>4.5394885542769936E-3</v>
      </c>
      <c r="X217" s="23">
        <f t="shared" si="166"/>
        <v>4.7988769614493623E-2</v>
      </c>
      <c r="Y217" s="23">
        <f t="shared" si="167"/>
        <v>-4.3990546312877576E-3</v>
      </c>
      <c r="Z217" s="26">
        <f t="shared" si="151"/>
        <v>-0.10503452106438479</v>
      </c>
      <c r="AA217" s="23">
        <f t="shared" si="152"/>
        <v>-6.0180347601671924</v>
      </c>
      <c r="AB217" s="24">
        <f t="shared" si="168"/>
        <v>4.3568341231927654E-3</v>
      </c>
      <c r="AD217" s="33">
        <f t="shared" si="169"/>
        <v>0.87334328427141905</v>
      </c>
      <c r="AE217" s="33">
        <f t="shared" si="153"/>
        <v>50.038884254846401</v>
      </c>
      <c r="AF217" s="33">
        <f t="shared" si="154"/>
        <v>-6.786582742542846E-4</v>
      </c>
      <c r="AG217" s="33">
        <f t="shared" si="170"/>
        <v>5.3373498786567171E-2</v>
      </c>
      <c r="AH217" s="33">
        <f t="shared" si="171"/>
        <v>6.5766325627603095E-4</v>
      </c>
      <c r="AI217" s="35">
        <f t="shared" si="137"/>
        <v>-0.10539296934090715</v>
      </c>
      <c r="AJ217" s="33">
        <f t="shared" si="155"/>
        <v>-6.0385723335856616</v>
      </c>
      <c r="AK217" s="37">
        <f t="shared" si="172"/>
        <v>-6.513512462704707E-4</v>
      </c>
      <c r="AM217" s="41">
        <f t="shared" si="156"/>
        <v>-7.155229370106099E-2</v>
      </c>
      <c r="AN217" s="41">
        <f t="shared" si="157"/>
        <v>-4.0996444435512993</v>
      </c>
      <c r="AO217" s="42">
        <f t="shared" si="158"/>
        <v>7.155229370106099E-2</v>
      </c>
      <c r="AP217" s="41">
        <f t="shared" si="173"/>
        <v>-0.28064597281956521</v>
      </c>
      <c r="AQ217" s="41">
        <f t="shared" si="174"/>
        <v>-7.1319064643392271E-2</v>
      </c>
      <c r="AR217" s="43">
        <f t="shared" si="138"/>
        <v>0.64420387236721766</v>
      </c>
      <c r="AS217" s="41">
        <f t="shared" si="139"/>
        <v>36.910163032625931</v>
      </c>
      <c r="AU217" s="48">
        <f t="shared" si="175"/>
        <v>7.0644368619362519E-2</v>
      </c>
      <c r="AV217" s="48">
        <f t="shared" si="159"/>
        <v>4.0476241682559069</v>
      </c>
      <c r="AW217" s="49">
        <f t="shared" si="160"/>
        <v>0.57355950374785514</v>
      </c>
      <c r="AX217" s="48">
        <f t="shared" si="176"/>
        <v>-0.56966648208652848</v>
      </c>
      <c r="AY217" s="48">
        <f t="shared" si="177"/>
        <v>-0.57776881077804543</v>
      </c>
      <c r="AZ217" s="50">
        <f t="shared" si="161"/>
        <v>-4.8971992687630861E-3</v>
      </c>
      <c r="BA217" s="48">
        <f t="shared" si="162"/>
        <v>-0.28058884953467778</v>
      </c>
      <c r="BB217" s="52">
        <f t="shared" si="178"/>
        <v>-6.6981832290832419E-2</v>
      </c>
      <c r="BC217" s="44">
        <f t="shared" si="163"/>
        <v>7.0644368619362519E-2</v>
      </c>
    </row>
    <row r="218" spans="4:55" x14ac:dyDescent="0.3">
      <c r="D218">
        <f t="shared" si="164"/>
        <v>2.1599999999999979</v>
      </c>
      <c r="F218" s="5">
        <f t="shared" si="140"/>
        <v>0.86555660646633736</v>
      </c>
      <c r="G218" s="6">
        <f t="shared" si="141"/>
        <v>49.592740480187032</v>
      </c>
      <c r="I218" s="9">
        <f t="shared" si="142"/>
        <v>0.86593276373378403</v>
      </c>
      <c r="J218" s="9">
        <f t="shared" si="143"/>
        <v>49.6142927040449</v>
      </c>
      <c r="K218" s="9">
        <f t="shared" si="144"/>
        <v>-6.0359012715033646</v>
      </c>
      <c r="L218" s="9">
        <f t="shared" si="145"/>
        <v>-0.1053463505130459</v>
      </c>
      <c r="M218" s="11">
        <f t="shared" si="135"/>
        <v>1.4991881137953689E-2</v>
      </c>
      <c r="O218" s="15">
        <f t="shared" si="146"/>
        <v>0.87232588668447808</v>
      </c>
      <c r="P218" s="15">
        <f t="shared" si="147"/>
        <v>49.980591667027888</v>
      </c>
      <c r="Q218" s="15">
        <v>-6.0359012715033602</v>
      </c>
      <c r="R218" s="15">
        <f t="shared" si="148"/>
        <v>-0.10534635051304582</v>
      </c>
      <c r="S218" s="16">
        <f t="shared" si="136"/>
        <v>7.5437365083463881E-4</v>
      </c>
      <c r="U218" s="23">
        <f t="shared" si="165"/>
        <v>0.86816870578411975</v>
      </c>
      <c r="V218" s="23">
        <f t="shared" si="149"/>
        <v>49.742402746764967</v>
      </c>
      <c r="W218" s="23">
        <f t="shared" si="150"/>
        <v>4.4959202130450127E-3</v>
      </c>
      <c r="X218" s="23">
        <f t="shared" si="166"/>
        <v>4.8033728816624072E-2</v>
      </c>
      <c r="Y218" s="23">
        <f t="shared" si="167"/>
        <v>-4.3568341231980945E-3</v>
      </c>
      <c r="Z218" s="26">
        <f t="shared" si="151"/>
        <v>-0.10503751388872218</v>
      </c>
      <c r="AA218" s="23">
        <f t="shared" si="152"/>
        <v>-6.0182062363705482</v>
      </c>
      <c r="AB218" s="24">
        <f t="shared" si="168"/>
        <v>4.3150188319946992E-3</v>
      </c>
      <c r="AD218" s="33">
        <f t="shared" si="169"/>
        <v>0.87333677075895633</v>
      </c>
      <c r="AE218" s="33">
        <f t="shared" si="153"/>
        <v>50.03851105807248</v>
      </c>
      <c r="AF218" s="33">
        <f t="shared" si="154"/>
        <v>-6.7214476179155991E-4</v>
      </c>
      <c r="AG218" s="33">
        <f t="shared" si="170"/>
        <v>5.3366777338949255E-2</v>
      </c>
      <c r="AH218" s="33">
        <f t="shared" si="171"/>
        <v>6.513512462724691E-4</v>
      </c>
      <c r="AI218" s="35">
        <f t="shared" si="137"/>
        <v>-0.10539252191054675</v>
      </c>
      <c r="AJ218" s="33">
        <f t="shared" si="155"/>
        <v>-6.0385466977143842</v>
      </c>
      <c r="AK218" s="37">
        <f t="shared" si="172"/>
        <v>-6.4509981661609039E-4</v>
      </c>
      <c r="AM218" s="41">
        <f t="shared" si="156"/>
        <v>-7.0845850014867359E-2</v>
      </c>
      <c r="AN218" s="41">
        <f t="shared" si="157"/>
        <v>-4.0591682018687401</v>
      </c>
      <c r="AO218" s="42">
        <f t="shared" si="158"/>
        <v>7.0845850014867359E-2</v>
      </c>
      <c r="AP218" s="41">
        <f t="shared" si="173"/>
        <v>-0.27993751431941655</v>
      </c>
      <c r="AQ218" s="41">
        <f t="shared" si="174"/>
        <v>-7.0644368619363074E-2</v>
      </c>
      <c r="AR218" s="43">
        <f t="shared" si="138"/>
        <v>0.63781413152931055</v>
      </c>
      <c r="AS218" s="41">
        <f t="shared" si="139"/>
        <v>36.544057850431464</v>
      </c>
      <c r="AU218" s="48">
        <f t="shared" si="175"/>
        <v>6.9974550296454191E-2</v>
      </c>
      <c r="AV218" s="48">
        <f t="shared" si="159"/>
        <v>4.0092464053127284</v>
      </c>
      <c r="AW218" s="49">
        <f t="shared" si="160"/>
        <v>0.56783958123285638</v>
      </c>
      <c r="AX218" s="48">
        <f t="shared" si="176"/>
        <v>-0.56398808627419994</v>
      </c>
      <c r="AY218" s="48">
        <f t="shared" si="177"/>
        <v>-0.57199225149987543</v>
      </c>
      <c r="AZ218" s="50">
        <f t="shared" si="161"/>
        <v>-4.8430286598135086E-3</v>
      </c>
      <c r="BA218" s="48">
        <f t="shared" si="162"/>
        <v>-0.27748510226821338</v>
      </c>
      <c r="BB218" s="52">
        <f t="shared" si="178"/>
        <v>-6.6489482743295372E-2</v>
      </c>
      <c r="BC218" s="44">
        <f t="shared" si="163"/>
        <v>6.9974550296454191E-2</v>
      </c>
    </row>
    <row r="219" spans="4:55" x14ac:dyDescent="0.3">
      <c r="D219">
        <f t="shared" si="164"/>
        <v>2.1699999999999977</v>
      </c>
      <c r="F219" s="5">
        <f t="shared" si="140"/>
        <v>0.86571315269840432</v>
      </c>
      <c r="G219" s="6">
        <f t="shared" si="141"/>
        <v>49.60170991858314</v>
      </c>
      <c r="I219" s="9">
        <f t="shared" si="142"/>
        <v>0.86608268254516352</v>
      </c>
      <c r="J219" s="9">
        <f t="shared" si="143"/>
        <v>49.622882419206562</v>
      </c>
      <c r="K219" s="9">
        <f t="shared" si="144"/>
        <v>-6.0359012715033646</v>
      </c>
      <c r="L219" s="9">
        <f t="shared" si="145"/>
        <v>-0.1053463505130459</v>
      </c>
      <c r="M219" s="11">
        <f t="shared" si="135"/>
        <v>1.4658011413260841E-2</v>
      </c>
      <c r="O219" s="15">
        <f t="shared" si="146"/>
        <v>0.87233343042098643</v>
      </c>
      <c r="P219" s="15">
        <f t="shared" si="147"/>
        <v>49.981023891291578</v>
      </c>
      <c r="Q219" s="15">
        <v>-6.0359012715033602</v>
      </c>
      <c r="R219" s="15">
        <f t="shared" si="148"/>
        <v>-0.10534635051304582</v>
      </c>
      <c r="S219" s="16">
        <f t="shared" si="136"/>
        <v>7.3757372287319711E-4</v>
      </c>
      <c r="U219" s="23">
        <f t="shared" si="165"/>
        <v>0.86821185597243966</v>
      </c>
      <c r="V219" s="23">
        <f t="shared" si="149"/>
        <v>49.744875070440891</v>
      </c>
      <c r="W219" s="23">
        <f t="shared" si="150"/>
        <v>4.4527700247251056E-3</v>
      </c>
      <c r="X219" s="23">
        <f t="shared" si="166"/>
        <v>4.8078256516871323E-2</v>
      </c>
      <c r="Y219" s="23">
        <f t="shared" si="167"/>
        <v>-4.3150188319907024E-3</v>
      </c>
      <c r="Z219" s="26">
        <f t="shared" si="151"/>
        <v>-0.1050404779890329</v>
      </c>
      <c r="AA219" s="23">
        <f t="shared" si="152"/>
        <v>-6.0183760668084059</v>
      </c>
      <c r="AB219" s="24">
        <f t="shared" si="168"/>
        <v>4.2736048685863004E-3</v>
      </c>
      <c r="AD219" s="33">
        <f t="shared" si="169"/>
        <v>0.87333031976079012</v>
      </c>
      <c r="AE219" s="33">
        <f t="shared" si="153"/>
        <v>50.03814144310391</v>
      </c>
      <c r="AF219" s="33">
        <f t="shared" si="154"/>
        <v>-6.6569376362535237E-4</v>
      </c>
      <c r="AG219" s="33">
        <f t="shared" si="170"/>
        <v>5.3360120401313001E-2</v>
      </c>
      <c r="AH219" s="33">
        <f t="shared" si="171"/>
        <v>6.4509981662075333E-4</v>
      </c>
      <c r="AI219" s="35">
        <f t="shared" si="137"/>
        <v>-0.1053920787744584</v>
      </c>
      <c r="AJ219" s="33">
        <f t="shared" si="155"/>
        <v>-6.0385213078867723</v>
      </c>
      <c r="AK219" s="37">
        <f t="shared" si="172"/>
        <v>-6.3890838588331889E-4</v>
      </c>
      <c r="AM219" s="41">
        <f t="shared" si="156"/>
        <v>-7.0146104511902813E-2</v>
      </c>
      <c r="AN219" s="41">
        <f t="shared" si="157"/>
        <v>-4.019075737815613</v>
      </c>
      <c r="AO219" s="42">
        <f t="shared" si="158"/>
        <v>7.0146104511902813E-2</v>
      </c>
      <c r="AP219" s="41">
        <f t="shared" si="173"/>
        <v>-0.27923605327429751</v>
      </c>
      <c r="AQ219" s="41">
        <f t="shared" si="174"/>
        <v>-6.9974550296454663E-2</v>
      </c>
      <c r="AR219" s="43">
        <f t="shared" si="138"/>
        <v>0.63148649482257357</v>
      </c>
      <c r="AS219" s="41">
        <f t="shared" si="139"/>
        <v>36.181510972843377</v>
      </c>
      <c r="AU219" s="48">
        <f t="shared" si="175"/>
        <v>6.9309655469021236E-2</v>
      </c>
      <c r="AV219" s="48">
        <f t="shared" si="159"/>
        <v>3.9711507378807411</v>
      </c>
      <c r="AW219" s="49">
        <f t="shared" si="160"/>
        <v>0.56217683935355234</v>
      </c>
      <c r="AX219" s="48">
        <f t="shared" si="176"/>
        <v>-0.55836631788066438</v>
      </c>
      <c r="AY219" s="48">
        <f t="shared" si="177"/>
        <v>-0.56627418793040452</v>
      </c>
      <c r="AZ219" s="50">
        <f t="shared" si="161"/>
        <v>-4.7896720061239018E-3</v>
      </c>
      <c r="BA219" s="48">
        <f t="shared" si="162"/>
        <v>-0.27442799120285777</v>
      </c>
      <c r="BB219" s="52">
        <f t="shared" si="178"/>
        <v>-6.5993082008447113E-2</v>
      </c>
      <c r="BC219" s="44">
        <f t="shared" si="163"/>
        <v>6.9309655469021236E-2</v>
      </c>
    </row>
    <row r="220" spans="4:55" x14ac:dyDescent="0.3">
      <c r="D220">
        <f t="shared" si="164"/>
        <v>2.1799999999999975</v>
      </c>
      <c r="F220" s="5">
        <f t="shared" si="140"/>
        <v>0.86586625117365679</v>
      </c>
      <c r="G220" s="6">
        <f t="shared" si="141"/>
        <v>49.610481815065</v>
      </c>
      <c r="I220" s="9">
        <f t="shared" si="142"/>
        <v>0.86622926265929612</v>
      </c>
      <c r="J220" s="9">
        <f t="shared" si="143"/>
        <v>49.631280841106907</v>
      </c>
      <c r="K220" s="9">
        <f t="shared" si="144"/>
        <v>-6.0359012715033646</v>
      </c>
      <c r="L220" s="9">
        <f t="shared" si="145"/>
        <v>-0.1053463505130459</v>
      </c>
      <c r="M220" s="11">
        <f t="shared" si="135"/>
        <v>1.4331576979178973E-2</v>
      </c>
      <c r="O220" s="15">
        <f t="shared" si="146"/>
        <v>0.87234080615821519</v>
      </c>
      <c r="P220" s="15">
        <f t="shared" si="147"/>
        <v>49.981446489905586</v>
      </c>
      <c r="Q220" s="15">
        <v>-6.0359012715033602</v>
      </c>
      <c r="R220" s="15">
        <f t="shared" si="148"/>
        <v>-0.10534635051304582</v>
      </c>
      <c r="S220" s="16">
        <f t="shared" si="136"/>
        <v>7.2114792990385368E-4</v>
      </c>
      <c r="U220" s="23">
        <f t="shared" si="165"/>
        <v>0.86825459202112554</v>
      </c>
      <c r="V220" s="23">
        <f t="shared" si="149"/>
        <v>49.747323665663657</v>
      </c>
      <c r="W220" s="23">
        <f t="shared" si="150"/>
        <v>4.4100339760392293E-3</v>
      </c>
      <c r="X220" s="23">
        <f t="shared" si="166"/>
        <v>4.8122356856631715E-2</v>
      </c>
      <c r="Y220" s="23">
        <f t="shared" si="167"/>
        <v>-4.2736048685876327E-3</v>
      </c>
      <c r="Z220" s="26">
        <f t="shared" si="151"/>
        <v>-0.10504341364099895</v>
      </c>
      <c r="AA220" s="23">
        <f t="shared" si="152"/>
        <v>-6.0185442672761802</v>
      </c>
      <c r="AB220" s="24">
        <f t="shared" si="168"/>
        <v>4.2325883811591414E-3</v>
      </c>
      <c r="AD220" s="33">
        <f t="shared" si="169"/>
        <v>0.87332393067693126</v>
      </c>
      <c r="AE220" s="33">
        <f t="shared" si="153"/>
        <v>50.037775375563847</v>
      </c>
      <c r="AF220" s="33">
        <f t="shared" si="154"/>
        <v>-6.5930467976649254E-4</v>
      </c>
      <c r="AG220" s="33">
        <f t="shared" si="170"/>
        <v>5.3353527354515339E-2</v>
      </c>
      <c r="AH220" s="33">
        <f t="shared" si="171"/>
        <v>6.3890838588598342E-4</v>
      </c>
      <c r="AI220" s="35">
        <f t="shared" si="137"/>
        <v>-0.10539163989142712</v>
      </c>
      <c r="AJ220" s="33">
        <f t="shared" si="155"/>
        <v>-6.0384961617413797</v>
      </c>
      <c r="AK220" s="37">
        <f t="shared" si="172"/>
        <v>-6.3277637822678479E-4</v>
      </c>
      <c r="AM220" s="41">
        <f t="shared" si="156"/>
        <v>-6.9453007957212598E-2</v>
      </c>
      <c r="AN220" s="41">
        <f t="shared" si="157"/>
        <v>-3.9793642304368051</v>
      </c>
      <c r="AO220" s="42">
        <f t="shared" si="158"/>
        <v>6.9453007957212598E-2</v>
      </c>
      <c r="AP220" s="41">
        <f t="shared" si="173"/>
        <v>-0.27854152319472536</v>
      </c>
      <c r="AQ220" s="41">
        <f t="shared" si="174"/>
        <v>-6.9309655469021458E-2</v>
      </c>
      <c r="AR220" s="43">
        <f t="shared" si="138"/>
        <v>0.62522042410310452</v>
      </c>
      <c r="AS220" s="41">
        <f t="shared" si="139"/>
        <v>35.822491566487301</v>
      </c>
      <c r="AU220" s="48">
        <f t="shared" si="175"/>
        <v>6.8649724648936761E-2</v>
      </c>
      <c r="AV220" s="48">
        <f t="shared" si="159"/>
        <v>3.9333394871192935</v>
      </c>
      <c r="AW220" s="49">
        <f t="shared" si="160"/>
        <v>0.55657069945416771</v>
      </c>
      <c r="AX220" s="48">
        <f t="shared" si="176"/>
        <v>-0.55280061088612265</v>
      </c>
      <c r="AY220" s="48">
        <f t="shared" si="177"/>
        <v>-0.56061398993846323</v>
      </c>
      <c r="AZ220" s="50">
        <f t="shared" si="161"/>
        <v>-4.7371071863978043E-3</v>
      </c>
      <c r="BA220" s="48">
        <f t="shared" si="162"/>
        <v>-0.27141624888168636</v>
      </c>
      <c r="BB220" s="52">
        <f t="shared" si="178"/>
        <v>-6.5493128399575967E-2</v>
      </c>
      <c r="BC220" s="44">
        <f t="shared" si="163"/>
        <v>6.8649724648936761E-2</v>
      </c>
    </row>
    <row r="221" spans="4:55" x14ac:dyDescent="0.3">
      <c r="D221">
        <f t="shared" si="164"/>
        <v>2.1899999999999973</v>
      </c>
      <c r="F221" s="5">
        <f t="shared" si="140"/>
        <v>0.86601597782510786</v>
      </c>
      <c r="G221" s="6">
        <f t="shared" si="141"/>
        <v>49.61906052027377</v>
      </c>
      <c r="I221" s="9">
        <f t="shared" si="142"/>
        <v>0.86637257842908788</v>
      </c>
      <c r="J221" s="9">
        <f t="shared" si="143"/>
        <v>49.639492229853644</v>
      </c>
      <c r="K221" s="9">
        <f t="shared" si="144"/>
        <v>-6.0359012715033646</v>
      </c>
      <c r="L221" s="9">
        <f t="shared" si="145"/>
        <v>-0.1053463505130459</v>
      </c>
      <c r="M221" s="11">
        <f t="shared" si="135"/>
        <v>1.401241225152261E-2</v>
      </c>
      <c r="O221" s="15">
        <f t="shared" si="146"/>
        <v>0.87234801763751424</v>
      </c>
      <c r="P221" s="15">
        <f t="shared" si="147"/>
        <v>49.981859677233466</v>
      </c>
      <c r="Q221" s="15">
        <v>-6.0359012715033602</v>
      </c>
      <c r="R221" s="15">
        <f t="shared" si="148"/>
        <v>-0.10534635051304582</v>
      </c>
      <c r="S221" s="16">
        <f t="shared" si="136"/>
        <v>7.0508793992618557E-4</v>
      </c>
      <c r="U221" s="23">
        <f t="shared" si="165"/>
        <v>0.86829691790493713</v>
      </c>
      <c r="V221" s="23">
        <f t="shared" si="149"/>
        <v>49.74974876017022</v>
      </c>
      <c r="W221" s="23">
        <f t="shared" si="150"/>
        <v>4.3677080922276401E-3</v>
      </c>
      <c r="X221" s="23">
        <f t="shared" si="166"/>
        <v>4.816603393755399E-2</v>
      </c>
      <c r="Y221" s="23">
        <f t="shared" si="167"/>
        <v>-4.2325883811589193E-3</v>
      </c>
      <c r="Z221" s="26">
        <f t="shared" si="151"/>
        <v>-0.10504632111765747</v>
      </c>
      <c r="AA221" s="23">
        <f t="shared" si="152"/>
        <v>-6.0187108534177458</v>
      </c>
      <c r="AB221" s="24">
        <f t="shared" si="168"/>
        <v>4.1919655548918744E-3</v>
      </c>
      <c r="AD221" s="33">
        <f t="shared" si="169"/>
        <v>0.87331760291314897</v>
      </c>
      <c r="AE221" s="33">
        <f t="shared" si="153"/>
        <v>50.037412821405361</v>
      </c>
      <c r="AF221" s="33">
        <f t="shared" si="154"/>
        <v>-6.5297691598420471E-4</v>
      </c>
      <c r="AG221" s="33">
        <f t="shared" si="170"/>
        <v>5.3346997585355493E-2</v>
      </c>
      <c r="AH221" s="33">
        <f t="shared" si="171"/>
        <v>6.3277637822878319E-4</v>
      </c>
      <c r="AI221" s="35">
        <f t="shared" si="137"/>
        <v>-0.10539120522063372</v>
      </c>
      <c r="AJ221" s="33">
        <f t="shared" si="155"/>
        <v>-6.0384712569394408</v>
      </c>
      <c r="AK221" s="37">
        <f t="shared" si="172"/>
        <v>-6.2670322332336603E-4</v>
      </c>
      <c r="AM221" s="41">
        <f t="shared" si="156"/>
        <v>-6.8766510710723233E-2</v>
      </c>
      <c r="AN221" s="41">
        <f t="shared" si="157"/>
        <v>-3.9400308355656124</v>
      </c>
      <c r="AO221" s="42">
        <f t="shared" si="158"/>
        <v>6.8766510710723233E-2</v>
      </c>
      <c r="AP221" s="41">
        <f t="shared" si="173"/>
        <v>-0.27785385808761814</v>
      </c>
      <c r="AQ221" s="41">
        <f t="shared" si="174"/>
        <v>-6.8649724648936483E-2</v>
      </c>
      <c r="AR221" s="43">
        <f t="shared" si="138"/>
        <v>0.6190153824582959</v>
      </c>
      <c r="AS221" s="41">
        <f t="shared" si="139"/>
        <v>35.466968868536853</v>
      </c>
      <c r="AU221" s="48">
        <f t="shared" si="175"/>
        <v>6.7994793364941006E-2</v>
      </c>
      <c r="AV221" s="48">
        <f t="shared" si="159"/>
        <v>3.8958146886752529</v>
      </c>
      <c r="AW221" s="49">
        <f t="shared" si="160"/>
        <v>0.55102058909335494</v>
      </c>
      <c r="AX221" s="48">
        <f t="shared" si="176"/>
        <v>-0.54729040499518911</v>
      </c>
      <c r="AY221" s="48">
        <f t="shared" si="177"/>
        <v>-0.55501103608127655</v>
      </c>
      <c r="AZ221" s="50">
        <f t="shared" si="161"/>
        <v>-4.6853130159252854E-3</v>
      </c>
      <c r="BA221" s="48">
        <f t="shared" si="162"/>
        <v>-0.26844866151022989</v>
      </c>
      <c r="BB221" s="52">
        <f t="shared" si="178"/>
        <v>-6.4990091854387394E-2</v>
      </c>
      <c r="BC221" s="44">
        <f t="shared" si="163"/>
        <v>6.7994793364941006E-2</v>
      </c>
    </row>
    <row r="222" spans="4:55" x14ac:dyDescent="0.3">
      <c r="D222">
        <f t="shared" si="164"/>
        <v>2.1999999999999971</v>
      </c>
      <c r="F222" s="5">
        <f t="shared" si="140"/>
        <v>0.86616240691342983</v>
      </c>
      <c r="G222" s="6">
        <f t="shared" si="141"/>
        <v>49.627450289032566</v>
      </c>
      <c r="I222" s="9">
        <f t="shared" si="142"/>
        <v>0.86651270255160306</v>
      </c>
      <c r="J222" s="9">
        <f t="shared" si="143"/>
        <v>49.647520750681736</v>
      </c>
      <c r="K222" s="9">
        <f t="shared" si="144"/>
        <v>-6.0359012715033646</v>
      </c>
      <c r="L222" s="9">
        <f t="shared" si="145"/>
        <v>-0.1053463505130459</v>
      </c>
      <c r="M222" s="11">
        <f t="shared" si="135"/>
        <v>1.3700355333671643E-2</v>
      </c>
      <c r="O222" s="15">
        <f t="shared" si="146"/>
        <v>0.87235506851691347</v>
      </c>
      <c r="P222" s="15">
        <f t="shared" si="147"/>
        <v>49.982263662864895</v>
      </c>
      <c r="Q222" s="15">
        <v>-6.0359012715033602</v>
      </c>
      <c r="R222" s="15">
        <f t="shared" si="148"/>
        <v>-0.10534635051304582</v>
      </c>
      <c r="S222" s="16">
        <f t="shared" si="136"/>
        <v>6.8938560649489666E-4</v>
      </c>
      <c r="U222" s="23">
        <f t="shared" si="165"/>
        <v>0.86833883756048602</v>
      </c>
      <c r="V222" s="23">
        <f t="shared" si="149"/>
        <v>49.752150579511813</v>
      </c>
      <c r="W222" s="23">
        <f t="shared" si="150"/>
        <v>4.3257884366787458E-3</v>
      </c>
      <c r="X222" s="23">
        <f t="shared" si="166"/>
        <v>4.8209291821920776E-2</v>
      </c>
      <c r="Y222" s="23">
        <f t="shared" si="167"/>
        <v>-4.1919655548894319E-3</v>
      </c>
      <c r="Z222" s="26">
        <f t="shared" si="151"/>
        <v>-0.1050492006894246</v>
      </c>
      <c r="AA222" s="23">
        <f t="shared" si="152"/>
        <v>-6.0188758407268068</v>
      </c>
      <c r="AB222" s="24">
        <f t="shared" si="168"/>
        <v>4.151732611567871E-3</v>
      </c>
      <c r="AD222" s="33">
        <f t="shared" si="169"/>
        <v>0.8733113358809157</v>
      </c>
      <c r="AE222" s="33">
        <f t="shared" si="153"/>
        <v>50.037053746908327</v>
      </c>
      <c r="AF222" s="33">
        <f t="shared" si="154"/>
        <v>-6.4670988375092886E-4</v>
      </c>
      <c r="AG222" s="33">
        <f t="shared" si="170"/>
        <v>5.3340530486517983E-2</v>
      </c>
      <c r="AH222" s="33">
        <f t="shared" si="171"/>
        <v>6.2670322332758488E-4</v>
      </c>
      <c r="AI222" s="35">
        <f t="shared" si="137"/>
        <v>-0.10539077472165075</v>
      </c>
      <c r="AJ222" s="33">
        <f t="shared" si="155"/>
        <v>-6.0384465911646314</v>
      </c>
      <c r="AK222" s="37">
        <f t="shared" si="172"/>
        <v>-6.2068835632667074E-4</v>
      </c>
      <c r="AM222" s="41">
        <f t="shared" si="156"/>
        <v>-6.8086562777073825E-2</v>
      </c>
      <c r="AN222" s="41">
        <f t="shared" si="157"/>
        <v>-3.9010726886788598</v>
      </c>
      <c r="AO222" s="42">
        <f t="shared" si="158"/>
        <v>6.8086562777073825E-2</v>
      </c>
      <c r="AP222" s="41">
        <f t="shared" si="173"/>
        <v>-0.27717299245984739</v>
      </c>
      <c r="AQ222" s="41">
        <f t="shared" si="174"/>
        <v>-6.7994793364940798E-2</v>
      </c>
      <c r="AR222" s="43">
        <f t="shared" si="138"/>
        <v>0.61287083440579737</v>
      </c>
      <c r="AS222" s="41">
        <f t="shared" si="139"/>
        <v>35.114912198113352</v>
      </c>
      <c r="AU222" s="48">
        <f t="shared" si="175"/>
        <v>6.7344892446397131E-2</v>
      </c>
      <c r="AV222" s="48">
        <f t="shared" si="159"/>
        <v>3.8585781089410132</v>
      </c>
      <c r="AW222" s="49">
        <f t="shared" si="160"/>
        <v>0.5455259419594003</v>
      </c>
      <c r="AX222" s="48">
        <f t="shared" si="176"/>
        <v>-0.54183514557559509</v>
      </c>
      <c r="AY222" s="48">
        <f t="shared" si="177"/>
        <v>-0.54946471339546443</v>
      </c>
      <c r="AZ222" s="50">
        <f t="shared" si="161"/>
        <v>-4.6342692006330899E-3</v>
      </c>
      <c r="BA222" s="48">
        <f t="shared" si="162"/>
        <v>-0.26552406632374176</v>
      </c>
      <c r="BB222" s="52">
        <f t="shared" si="178"/>
        <v>-6.4484415414611168E-2</v>
      </c>
      <c r="BC222" s="44">
        <f t="shared" si="163"/>
        <v>6.7344892446397131E-2</v>
      </c>
    </row>
    <row r="223" spans="4:55" x14ac:dyDescent="0.3">
      <c r="D223">
        <f t="shared" si="164"/>
        <v>2.2099999999999969</v>
      </c>
      <c r="F223" s="5">
        <f t="shared" si="140"/>
        <v>0.86630561106378678</v>
      </c>
      <c r="G223" s="6">
        <f t="shared" si="141"/>
        <v>49.635655282456774</v>
      </c>
      <c r="I223" s="9">
        <f t="shared" si="142"/>
        <v>0.86664970610493974</v>
      </c>
      <c r="J223" s="9">
        <f t="shared" si="143"/>
        <v>49.655370476066224</v>
      </c>
      <c r="K223" s="9">
        <f t="shared" si="144"/>
        <v>-6.0359012715033646</v>
      </c>
      <c r="L223" s="9">
        <f t="shared" si="145"/>
        <v>-0.1053463505130459</v>
      </c>
      <c r="M223" s="11">
        <f t="shared" si="135"/>
        <v>1.3395247934449683E-2</v>
      </c>
      <c r="O223" s="15">
        <f t="shared" si="146"/>
        <v>0.87236196237297836</v>
      </c>
      <c r="P223" s="15">
        <f t="shared" si="147"/>
        <v>49.982658651721984</v>
      </c>
      <c r="Q223" s="15">
        <v>-6.0359012715033602</v>
      </c>
      <c r="R223" s="15">
        <f t="shared" si="148"/>
        <v>-0.10534635051304582</v>
      </c>
      <c r="S223" s="16">
        <f t="shared" si="136"/>
        <v>6.7403296458667938E-4</v>
      </c>
      <c r="U223" s="23">
        <f t="shared" si="165"/>
        <v>0.8683803548866017</v>
      </c>
      <c r="V223" s="23">
        <f t="shared" si="149"/>
        <v>49.754529347074907</v>
      </c>
      <c r="W223" s="23">
        <f t="shared" si="150"/>
        <v>4.2842711105630649E-3</v>
      </c>
      <c r="X223" s="23">
        <f t="shared" si="166"/>
        <v>4.825213453302641E-2</v>
      </c>
      <c r="Y223" s="23">
        <f t="shared" si="167"/>
        <v>-4.151732611568093E-3</v>
      </c>
      <c r="Z223" s="26">
        <f t="shared" si="151"/>
        <v>-0.10505205262412111</v>
      </c>
      <c r="AA223" s="23">
        <f t="shared" si="152"/>
        <v>-6.019039244548364</v>
      </c>
      <c r="AB223" s="24">
        <f t="shared" si="168"/>
        <v>4.1118858092321631E-3</v>
      </c>
      <c r="AD223" s="33">
        <f t="shared" si="169"/>
        <v>0.87330512899735246</v>
      </c>
      <c r="AE223" s="33">
        <f t="shared" si="153"/>
        <v>50.03669811867622</v>
      </c>
      <c r="AF223" s="33">
        <f t="shared" si="154"/>
        <v>-6.4050300018769768E-4</v>
      </c>
      <c r="AG223" s="33">
        <f t="shared" si="170"/>
        <v>5.3334125456516106E-2</v>
      </c>
      <c r="AH223" s="33">
        <f t="shared" si="171"/>
        <v>6.2068835632311803E-4</v>
      </c>
      <c r="AI223" s="35">
        <f t="shared" si="137"/>
        <v>-0.10539034835443843</v>
      </c>
      <c r="AJ223" s="33">
        <f t="shared" si="155"/>
        <v>-6.0384221621228429</v>
      </c>
      <c r="AK223" s="37">
        <f t="shared" si="172"/>
        <v>-6.1473121781463469E-4</v>
      </c>
      <c r="AM223" s="41">
        <f t="shared" si="156"/>
        <v>-6.7413113852609854E-2</v>
      </c>
      <c r="AN223" s="41">
        <f t="shared" si="157"/>
        <v>-3.8624869075894499</v>
      </c>
      <c r="AO223" s="42">
        <f t="shared" si="158"/>
        <v>6.7413113852609854E-2</v>
      </c>
      <c r="AP223" s="41">
        <f t="shared" si="173"/>
        <v>-0.27649886132132129</v>
      </c>
      <c r="AQ223" s="41">
        <f t="shared" si="174"/>
        <v>-6.7344892446397076E-2</v>
      </c>
      <c r="AR223" s="43">
        <f t="shared" si="138"/>
        <v>0.60678624607970144</v>
      </c>
      <c r="AS223" s="41">
        <f t="shared" si="139"/>
        <v>34.766290966953484</v>
      </c>
      <c r="AU223" s="48">
        <f t="shared" si="175"/>
        <v>6.6700048292251013E-2</v>
      </c>
      <c r="AV223" s="48">
        <f t="shared" si="159"/>
        <v>3.8216312604647573</v>
      </c>
      <c r="AW223" s="49">
        <f t="shared" si="160"/>
        <v>0.54008619778745048</v>
      </c>
      <c r="AX223" s="48">
        <f t="shared" si="176"/>
        <v>-0.53643428359772061</v>
      </c>
      <c r="AY223" s="48">
        <f t="shared" si="177"/>
        <v>-0.54397441719498119</v>
      </c>
      <c r="AZ223" s="50">
        <f t="shared" si="161"/>
        <v>-4.5839562934848477E-3</v>
      </c>
      <c r="BA223" s="48">
        <f t="shared" si="162"/>
        <v>-0.26264134908911391</v>
      </c>
      <c r="BB223" s="52">
        <f t="shared" si="178"/>
        <v>-6.397651662930369E-2</v>
      </c>
      <c r="BC223" s="44">
        <f t="shared" si="163"/>
        <v>6.6700048292251013E-2</v>
      </c>
    </row>
    <row r="224" spans="4:55" x14ac:dyDescent="0.3">
      <c r="D224">
        <f t="shared" si="164"/>
        <v>2.2199999999999966</v>
      </c>
      <c r="F224" s="5">
        <f t="shared" si="140"/>
        <v>0.86644566130185385</v>
      </c>
      <c r="G224" s="6">
        <f t="shared" si="141"/>
        <v>49.643679570017824</v>
      </c>
      <c r="I224" s="9">
        <f t="shared" si="142"/>
        <v>0.86678365858428419</v>
      </c>
      <c r="J224" s="9">
        <f t="shared" si="143"/>
        <v>49.663045387787975</v>
      </c>
      <c r="K224" s="9">
        <f t="shared" si="144"/>
        <v>-6.0359012715033646</v>
      </c>
      <c r="L224" s="9">
        <f t="shared" si="145"/>
        <v>-0.1053463505130459</v>
      </c>
      <c r="M224" s="11">
        <f t="shared" si="135"/>
        <v>1.3096935287830291E-2</v>
      </c>
      <c r="O224" s="15">
        <f t="shared" si="146"/>
        <v>0.87236870270262423</v>
      </c>
      <c r="P224" s="15">
        <f t="shared" si="147"/>
        <v>49.983044844163224</v>
      </c>
      <c r="Q224" s="15">
        <v>-6.0359012715033602</v>
      </c>
      <c r="R224" s="15">
        <f t="shared" si="148"/>
        <v>-0.10534635051304582</v>
      </c>
      <c r="S224" s="16">
        <f t="shared" si="136"/>
        <v>6.5902222655767062E-4</v>
      </c>
      <c r="U224" s="23">
        <f t="shared" si="165"/>
        <v>0.86842147374469403</v>
      </c>
      <c r="V224" s="23">
        <f t="shared" si="149"/>
        <v>49.756885284101998</v>
      </c>
      <c r="W224" s="23">
        <f t="shared" si="150"/>
        <v>4.2431522524707388E-3</v>
      </c>
      <c r="X224" s="23">
        <f t="shared" si="166"/>
        <v>4.8294566055551116E-2</v>
      </c>
      <c r="Y224" s="23">
        <f t="shared" si="167"/>
        <v>-4.1118858092326072E-3</v>
      </c>
      <c r="Z224" s="26">
        <f t="shared" si="151"/>
        <v>-0.10505487718699755</v>
      </c>
      <c r="AA224" s="23">
        <f t="shared" si="152"/>
        <v>-6.0192010800801539</v>
      </c>
      <c r="AB224" s="24">
        <f t="shared" si="168"/>
        <v>4.0724214418474958E-3</v>
      </c>
      <c r="AD224" s="33">
        <f t="shared" si="169"/>
        <v>0.87329898168517428</v>
      </c>
      <c r="AE224" s="33">
        <f t="shared" si="153"/>
        <v>50.036345903633062</v>
      </c>
      <c r="AF224" s="33">
        <f t="shared" si="154"/>
        <v>-6.3435568800951359E-4</v>
      </c>
      <c r="AG224" s="33">
        <f t="shared" si="170"/>
        <v>5.3327781899636009E-2</v>
      </c>
      <c r="AH224" s="33">
        <f t="shared" si="171"/>
        <v>6.1473121781840945E-4</v>
      </c>
      <c r="AI224" s="35">
        <f t="shared" si="137"/>
        <v>-0.10538992607934208</v>
      </c>
      <c r="AJ224" s="33">
        <f t="shared" si="155"/>
        <v>-6.0383979675420285</v>
      </c>
      <c r="AK224" s="37">
        <f t="shared" si="172"/>
        <v>-6.0883125372024338E-4</v>
      </c>
      <c r="AM224" s="41">
        <f t="shared" si="156"/>
        <v>-6.6746113369687346E-2</v>
      </c>
      <c r="AN224" s="41">
        <f t="shared" si="157"/>
        <v>-3.8242705949848022</v>
      </c>
      <c r="AO224" s="42">
        <f t="shared" si="158"/>
        <v>6.6746113369687346E-2</v>
      </c>
      <c r="AP224" s="41">
        <f t="shared" si="173"/>
        <v>-0.27583140018762442</v>
      </c>
      <c r="AQ224" s="41">
        <f t="shared" si="174"/>
        <v>-6.6700048292250846E-2</v>
      </c>
      <c r="AR224" s="43">
        <f t="shared" si="138"/>
        <v>0.60076108540462259</v>
      </c>
      <c r="AS224" s="41">
        <f t="shared" si="139"/>
        <v>34.421074689383275</v>
      </c>
      <c r="AU224" s="48">
        <f t="shared" si="175"/>
        <v>6.6060283125957978E-2</v>
      </c>
      <c r="AV224" s="48">
        <f t="shared" si="159"/>
        <v>3.7849754165566809</v>
      </c>
      <c r="AW224" s="49">
        <f t="shared" si="160"/>
        <v>0.53470080227866457</v>
      </c>
      <c r="AX224" s="48">
        <f t="shared" si="176"/>
        <v>-0.53108727557493396</v>
      </c>
      <c r="AY224" s="48">
        <f t="shared" si="177"/>
        <v>-0.53853955087859173</v>
      </c>
      <c r="AZ224" s="50">
        <f t="shared" si="161"/>
        <v>-4.5343556530682561E-3</v>
      </c>
      <c r="BA224" s="48">
        <f t="shared" si="162"/>
        <v>-0.25979944173209718</v>
      </c>
      <c r="BB224" s="52">
        <f t="shared" si="178"/>
        <v>-6.346678888655366E-2</v>
      </c>
      <c r="BC224" s="44">
        <f t="shared" si="163"/>
        <v>6.6060283125957978E-2</v>
      </c>
    </row>
    <row r="225" spans="4:55" x14ac:dyDescent="0.3">
      <c r="D225">
        <f t="shared" si="164"/>
        <v>2.2299999999999964</v>
      </c>
      <c r="F225" s="5">
        <f t="shared" si="140"/>
        <v>0.86658262708904477</v>
      </c>
      <c r="G225" s="6">
        <f t="shared" si="141"/>
        <v>49.651527131561551</v>
      </c>
      <c r="I225" s="9">
        <f t="shared" si="142"/>
        <v>0.86691462793716245</v>
      </c>
      <c r="J225" s="9">
        <f t="shared" si="143"/>
        <v>49.67054937895346</v>
      </c>
      <c r="K225" s="9">
        <f t="shared" si="144"/>
        <v>-6.0359012715033646</v>
      </c>
      <c r="L225" s="9">
        <f t="shared" si="145"/>
        <v>-0.1053463505130459</v>
      </c>
      <c r="M225" s="11">
        <f t="shared" si="135"/>
        <v>1.2805266074431998E-2</v>
      </c>
      <c r="O225" s="15">
        <f t="shared" si="146"/>
        <v>0.8723752929248898</v>
      </c>
      <c r="P225" s="15">
        <f t="shared" si="147"/>
        <v>49.983422436085092</v>
      </c>
      <c r="Q225" s="15">
        <v>-6.0359012715033602</v>
      </c>
      <c r="R225" s="15">
        <f t="shared" si="148"/>
        <v>-0.10534635051304582</v>
      </c>
      <c r="S225" s="16">
        <f t="shared" si="136"/>
        <v>6.4434577819727501E-4</v>
      </c>
      <c r="U225" s="23">
        <f t="shared" si="165"/>
        <v>0.8684621979591125</v>
      </c>
      <c r="V225" s="23">
        <f t="shared" si="149"/>
        <v>49.759218609712164</v>
      </c>
      <c r="W225" s="23">
        <f t="shared" si="150"/>
        <v>4.2024280380522638E-3</v>
      </c>
      <c r="X225" s="23">
        <f t="shared" si="166"/>
        <v>4.8336590335931642E-2</v>
      </c>
      <c r="Y225" s="23">
        <f t="shared" si="167"/>
        <v>-4.0724214418474958E-3</v>
      </c>
      <c r="Z225" s="26">
        <f t="shared" si="151"/>
        <v>-0.10505767464075857</v>
      </c>
      <c r="AA225" s="23">
        <f t="shared" si="152"/>
        <v>-6.0193613623740436</v>
      </c>
      <c r="AB225" s="24">
        <f t="shared" si="168"/>
        <v>4.0333358389439411E-3</v>
      </c>
      <c r="AD225" s="33">
        <f t="shared" si="169"/>
        <v>0.87329289337263705</v>
      </c>
      <c r="AE225" s="33">
        <f t="shared" si="153"/>
        <v>50.035997069020326</v>
      </c>
      <c r="AF225" s="33">
        <f t="shared" si="154"/>
        <v>-6.2826737547228007E-4</v>
      </c>
      <c r="AG225" s="33">
        <f t="shared" si="170"/>
        <v>5.3321499225881287E-2</v>
      </c>
      <c r="AH225" s="33">
        <f t="shared" si="171"/>
        <v>6.0883125372335201E-4</v>
      </c>
      <c r="AI225" s="35">
        <f t="shared" si="137"/>
        <v>-0.10538950785708663</v>
      </c>
      <c r="AJ225" s="33">
        <f t="shared" si="155"/>
        <v>-6.0383740051718924</v>
      </c>
      <c r="AK225" s="37">
        <f t="shared" si="172"/>
        <v>-6.0298791531399054E-4</v>
      </c>
      <c r="AM225" s="41">
        <f t="shared" si="156"/>
        <v>-6.6085510538427761E-2</v>
      </c>
      <c r="AN225" s="41">
        <f t="shared" si="157"/>
        <v>-3.7864208408192352</v>
      </c>
      <c r="AO225" s="42">
        <f t="shared" si="158"/>
        <v>6.6085510538427761E-2</v>
      </c>
      <c r="AP225" s="41">
        <f t="shared" si="173"/>
        <v>-0.27517054508224015</v>
      </c>
      <c r="AQ225" s="41">
        <f t="shared" si="174"/>
        <v>-6.6060283125958519E-2</v>
      </c>
      <c r="AR225" s="43">
        <f t="shared" si="138"/>
        <v>0.59479482225831903</v>
      </c>
      <c r="AS225" s="41">
        <f t="shared" si="139"/>
        <v>34.079232991635635</v>
      </c>
      <c r="AU225" s="48">
        <f t="shared" si="175"/>
        <v>6.5425615237092435E-2</v>
      </c>
      <c r="AV225" s="48">
        <f t="shared" si="159"/>
        <v>3.7486116251322072</v>
      </c>
      <c r="AW225" s="49">
        <f t="shared" si="160"/>
        <v>0.52936920702122658</v>
      </c>
      <c r="AX225" s="48">
        <f t="shared" si="176"/>
        <v>-0.52579358350472172</v>
      </c>
      <c r="AY225" s="48">
        <f t="shared" si="177"/>
        <v>-0.53315952574379821</v>
      </c>
      <c r="AZ225" s="50">
        <f t="shared" si="161"/>
        <v>-4.4854494042907422E-3</v>
      </c>
      <c r="BA225" s="48">
        <f t="shared" si="162"/>
        <v>-0.25699732008532883</v>
      </c>
      <c r="BB225" s="52">
        <f t="shared" si="178"/>
        <v>-6.2955602676632888E-2</v>
      </c>
      <c r="BC225" s="44">
        <f t="shared" si="163"/>
        <v>6.5425615237092435E-2</v>
      </c>
    </row>
    <row r="226" spans="4:55" x14ac:dyDescent="0.3">
      <c r="D226">
        <f t="shared" si="164"/>
        <v>2.2399999999999962</v>
      </c>
      <c r="F226" s="5">
        <f t="shared" si="140"/>
        <v>0.86671657635696286</v>
      </c>
      <c r="G226" s="6">
        <f t="shared" si="141"/>
        <v>49.65920185928212</v>
      </c>
      <c r="I226" s="9">
        <f t="shared" si="142"/>
        <v>0.86704268059790679</v>
      </c>
      <c r="J226" s="9">
        <f t="shared" si="143"/>
        <v>49.677886255969526</v>
      </c>
      <c r="K226" s="9">
        <f t="shared" si="144"/>
        <v>-6.0359012715033646</v>
      </c>
      <c r="L226" s="9">
        <f t="shared" si="145"/>
        <v>-0.1053463505130459</v>
      </c>
      <c r="M226" s="11">
        <f t="shared" si="135"/>
        <v>1.2520092344761258E-2</v>
      </c>
      <c r="O226" s="15">
        <f t="shared" si="146"/>
        <v>0.8723817363826718</v>
      </c>
      <c r="P226" s="15">
        <f t="shared" si="147"/>
        <v>49.983791619021474</v>
      </c>
      <c r="Q226" s="15">
        <v>-6.0359012715033602</v>
      </c>
      <c r="R226" s="15">
        <f t="shared" si="148"/>
        <v>-0.10534635051304582</v>
      </c>
      <c r="S226" s="16">
        <f t="shared" si="136"/>
        <v>6.2999617486236836E-4</v>
      </c>
      <c r="U226" s="23">
        <f t="shared" si="165"/>
        <v>0.86850253131750199</v>
      </c>
      <c r="V226" s="23">
        <f t="shared" si="149"/>
        <v>49.761529540921472</v>
      </c>
      <c r="W226" s="23">
        <f t="shared" si="150"/>
        <v>4.1620946796627756E-3</v>
      </c>
      <c r="X226" s="23">
        <f t="shared" si="166"/>
        <v>4.8378211282728269E-2</v>
      </c>
      <c r="Y226" s="23">
        <f t="shared" si="167"/>
        <v>-4.0333358389488261E-3</v>
      </c>
      <c r="Z226" s="26">
        <f t="shared" si="151"/>
        <v>-0.10506044524558734</v>
      </c>
      <c r="AA226" s="23">
        <f t="shared" si="152"/>
        <v>-6.0195201063374304</v>
      </c>
      <c r="AB226" s="24">
        <f t="shared" si="168"/>
        <v>3.994625365275617E-3</v>
      </c>
      <c r="AD226" s="33">
        <f t="shared" si="169"/>
        <v>0.87328686349348394</v>
      </c>
      <c r="AE226" s="33">
        <f t="shared" si="153"/>
        <v>50.035651582393875</v>
      </c>
      <c r="AF226" s="33">
        <f t="shared" si="154"/>
        <v>-6.2223749631917791E-4</v>
      </c>
      <c r="AG226" s="33">
        <f t="shared" si="170"/>
        <v>5.3315276850918095E-2</v>
      </c>
      <c r="AH226" s="33">
        <f t="shared" si="171"/>
        <v>6.0298791531021578E-4</v>
      </c>
      <c r="AI226" s="35">
        <f t="shared" si="137"/>
        <v>-0.10538909364877438</v>
      </c>
      <c r="AJ226" s="33">
        <f t="shared" si="155"/>
        <v>-6.0383502727837621</v>
      </c>
      <c r="AK226" s="37">
        <f t="shared" si="172"/>
        <v>-5.9720065912327591E-4</v>
      </c>
      <c r="AM226" s="41">
        <f t="shared" si="156"/>
        <v>-6.5431254386056834E-2</v>
      </c>
      <c r="AN226" s="41">
        <f t="shared" si="157"/>
        <v>-3.748934724567913</v>
      </c>
      <c r="AO226" s="42">
        <f t="shared" si="158"/>
        <v>6.5431254386056834E-2</v>
      </c>
      <c r="AP226" s="41">
        <f t="shared" si="173"/>
        <v>-0.27451623253837959</v>
      </c>
      <c r="AQ226" s="41">
        <f t="shared" si="174"/>
        <v>-6.5425615237092727E-2</v>
      </c>
      <c r="AR226" s="43">
        <f t="shared" si="138"/>
        <v>0.58888692862347569</v>
      </c>
      <c r="AS226" s="41">
        <f t="shared" si="139"/>
        <v>33.740735620546914</v>
      </c>
      <c r="AU226" s="48">
        <f t="shared" si="175"/>
        <v>6.4796059210326107E-2</v>
      </c>
      <c r="AV226" s="48">
        <f t="shared" si="159"/>
        <v>3.7125407218314717</v>
      </c>
      <c r="AW226" s="49">
        <f t="shared" si="160"/>
        <v>0.52409086941314964</v>
      </c>
      <c r="AX226" s="48">
        <f t="shared" si="176"/>
        <v>-0.5205526748105902</v>
      </c>
      <c r="AY226" s="48">
        <f t="shared" si="177"/>
        <v>-0.5278337608076944</v>
      </c>
      <c r="AZ226" s="50">
        <f t="shared" si="161"/>
        <v>-4.4372204010804106E-3</v>
      </c>
      <c r="BA226" s="48">
        <f t="shared" si="162"/>
        <v>-0.25423400175125394</v>
      </c>
      <c r="BB226" s="52">
        <f t="shared" si="178"/>
        <v>-6.244330679002412E-2</v>
      </c>
      <c r="BC226" s="44">
        <f t="shared" si="163"/>
        <v>6.4796059210326107E-2</v>
      </c>
    </row>
    <row r="227" spans="4:55" x14ac:dyDescent="0.3">
      <c r="D227">
        <f t="shared" si="164"/>
        <v>2.249999999999996</v>
      </c>
      <c r="F227" s="5">
        <f t="shared" si="140"/>
        <v>0.86684757554109315</v>
      </c>
      <c r="G227" s="6">
        <f t="shared" si="141"/>
        <v>49.666707559652444</v>
      </c>
      <c r="I227" s="9">
        <f t="shared" si="142"/>
        <v>0.86716788152135438</v>
      </c>
      <c r="J227" s="9">
        <f t="shared" si="143"/>
        <v>49.685059740474216</v>
      </c>
      <c r="K227" s="9">
        <f t="shared" si="144"/>
        <v>-6.0359012715033646</v>
      </c>
      <c r="L227" s="9">
        <f t="shared" si="145"/>
        <v>-0.1053463505130459</v>
      </c>
      <c r="M227" s="11">
        <f t="shared" si="135"/>
        <v>1.224126944416537E-2</v>
      </c>
      <c r="O227" s="15">
        <f t="shared" si="146"/>
        <v>0.87238803634442041</v>
      </c>
      <c r="P227" s="15">
        <f t="shared" si="147"/>
        <v>49.98415258024076</v>
      </c>
      <c r="Q227" s="15">
        <v>-6.0359012715033602</v>
      </c>
      <c r="R227" s="15">
        <f t="shared" si="148"/>
        <v>-0.10534635051304582</v>
      </c>
      <c r="S227" s="16">
        <f t="shared" si="136"/>
        <v>6.1596613770253938E-4</v>
      </c>
      <c r="U227" s="23">
        <f t="shared" si="165"/>
        <v>0.86854247757115477</v>
      </c>
      <c r="V227" s="23">
        <f t="shared" si="149"/>
        <v>49.763818292663132</v>
      </c>
      <c r="W227" s="23">
        <f t="shared" si="150"/>
        <v>4.1221484260099972E-3</v>
      </c>
      <c r="X227" s="23">
        <f t="shared" si="166"/>
        <v>4.8419432766988367E-2</v>
      </c>
      <c r="Y227" s="23">
        <f t="shared" si="167"/>
        <v>-3.9946253652778374E-3</v>
      </c>
      <c r="Z227" s="26">
        <f t="shared" si="151"/>
        <v>-0.10506318925917034</v>
      </c>
      <c r="AA227" s="23">
        <f t="shared" si="152"/>
        <v>-6.019677326734663</v>
      </c>
      <c r="AB227" s="24">
        <f t="shared" si="168"/>
        <v>3.9562864204971682E-3</v>
      </c>
      <c r="AD227" s="33">
        <f t="shared" si="169"/>
        <v>0.8732808914868927</v>
      </c>
      <c r="AE227" s="33">
        <f t="shared" si="153"/>
        <v>50.035309411620972</v>
      </c>
      <c r="AF227" s="33">
        <f t="shared" si="154"/>
        <v>-6.1626548972792961E-4</v>
      </c>
      <c r="AG227" s="33">
        <f t="shared" si="170"/>
        <v>5.3309114196020815E-2</v>
      </c>
      <c r="AH227" s="33">
        <f t="shared" si="171"/>
        <v>5.9720065912483022E-4</v>
      </c>
      <c r="AI227" s="35">
        <f t="shared" si="137"/>
        <v>-0.1053886834158814</v>
      </c>
      <c r="AJ227" s="33">
        <f t="shared" si="155"/>
        <v>-6.0383267681703758</v>
      </c>
      <c r="AK227" s="37">
        <f t="shared" si="172"/>
        <v>-5.914689468833334E-4</v>
      </c>
      <c r="AM227" s="41">
        <f t="shared" si="156"/>
        <v>-6.4783293793953575E-2</v>
      </c>
      <c r="AN227" s="41">
        <f t="shared" si="157"/>
        <v>-3.7118093173495983</v>
      </c>
      <c r="AO227" s="42">
        <f t="shared" si="158"/>
        <v>6.4783293793953575E-2</v>
      </c>
      <c r="AP227" s="41">
        <f t="shared" si="173"/>
        <v>-0.27386839960044007</v>
      </c>
      <c r="AQ227" s="41">
        <f t="shared" si="174"/>
        <v>-6.4796059210325829E-2</v>
      </c>
      <c r="AR227" s="43">
        <f t="shared" si="138"/>
        <v>0.58303687872920995</v>
      </c>
      <c r="AS227" s="41">
        <f t="shared" si="139"/>
        <v>33.405552451664533</v>
      </c>
      <c r="AU227" s="48">
        <f t="shared" si="175"/>
        <v>6.4171626142425872E-2</v>
      </c>
      <c r="AV227" s="48">
        <f t="shared" si="159"/>
        <v>3.6767633424523822</v>
      </c>
      <c r="AW227" s="49">
        <f t="shared" si="160"/>
        <v>0.51886525258678406</v>
      </c>
      <c r="AX227" s="48">
        <f t="shared" si="176"/>
        <v>-0.51536402228472233</v>
      </c>
      <c r="AY227" s="48">
        <f t="shared" si="177"/>
        <v>-0.52256168263655756</v>
      </c>
      <c r="AZ227" s="50">
        <f t="shared" si="161"/>
        <v>-4.3896521909406738E-3</v>
      </c>
      <c r="BA227" s="48">
        <f t="shared" si="162"/>
        <v>-0.25150854407125561</v>
      </c>
      <c r="BB227" s="52">
        <f t="shared" si="178"/>
        <v>-6.1930229454571092E-2</v>
      </c>
      <c r="BC227" s="44">
        <f t="shared" si="163"/>
        <v>6.4171626142425872E-2</v>
      </c>
    </row>
    <row r="228" spans="4:55" x14ac:dyDescent="0.3">
      <c r="D228">
        <f t="shared" si="164"/>
        <v>2.2599999999999958</v>
      </c>
      <c r="F228" s="5">
        <f t="shared" si="140"/>
        <v>0.86697568961375315</v>
      </c>
      <c r="G228" s="6">
        <f t="shared" si="141"/>
        <v>49.674047955312098</v>
      </c>
      <c r="I228" s="9">
        <f t="shared" si="142"/>
        <v>0.86729029421579606</v>
      </c>
      <c r="J228" s="9">
        <f t="shared" si="143"/>
        <v>49.692073471224546</v>
      </c>
      <c r="K228" s="9">
        <f t="shared" si="144"/>
        <v>-6.0359012715033646</v>
      </c>
      <c r="L228" s="9">
        <f t="shared" si="145"/>
        <v>-0.1053463505130459</v>
      </c>
      <c r="M228" s="11">
        <f t="shared" si="135"/>
        <v>1.1968655939455175E-2</v>
      </c>
      <c r="O228" s="15">
        <f t="shared" si="146"/>
        <v>0.87239419600579748</v>
      </c>
      <c r="P228" s="15">
        <f t="shared" si="147"/>
        <v>49.984505502840896</v>
      </c>
      <c r="Q228" s="15">
        <v>-6.0359012715033602</v>
      </c>
      <c r="R228" s="15">
        <f t="shared" si="148"/>
        <v>-0.10534635051304582</v>
      </c>
      <c r="S228" s="16">
        <f t="shared" si="136"/>
        <v>6.0224854996815402E-4</v>
      </c>
      <c r="U228" s="23">
        <f t="shared" si="165"/>
        <v>0.86858204043535969</v>
      </c>
      <c r="V228" s="23">
        <f t="shared" si="149"/>
        <v>49.766085077807524</v>
      </c>
      <c r="W228" s="23">
        <f t="shared" si="150"/>
        <v>4.0825855618050744E-3</v>
      </c>
      <c r="X228" s="23">
        <f t="shared" si="166"/>
        <v>4.8460258622606417E-2</v>
      </c>
      <c r="Y228" s="23">
        <f t="shared" si="167"/>
        <v>-3.9562864204922832E-3</v>
      </c>
      <c r="Z228" s="26">
        <f t="shared" si="151"/>
        <v>-0.10506590693672052</v>
      </c>
      <c r="AA228" s="23">
        <f t="shared" si="152"/>
        <v>-6.0198330381883656</v>
      </c>
      <c r="AB228" s="24">
        <f t="shared" si="168"/>
        <v>3.9183154388100494E-3</v>
      </c>
      <c r="AD228" s="33">
        <f t="shared" si="169"/>
        <v>0.87327497679742383</v>
      </c>
      <c r="AE228" s="33">
        <f t="shared" si="153"/>
        <v>50.034970524877274</v>
      </c>
      <c r="AF228" s="33">
        <f t="shared" si="154"/>
        <v>-6.1035080025906296E-4</v>
      </c>
      <c r="AG228" s="33">
        <f t="shared" si="170"/>
        <v>5.3303010688018224E-2</v>
      </c>
      <c r="AH228" s="33">
        <f t="shared" si="171"/>
        <v>5.9146894688666407E-4</v>
      </c>
      <c r="AI228" s="35">
        <f t="shared" si="137"/>
        <v>-0.10538827712025275</v>
      </c>
      <c r="AJ228" s="33">
        <f t="shared" si="155"/>
        <v>-6.03830348914562</v>
      </c>
      <c r="AK228" s="37">
        <f t="shared" si="172"/>
        <v>-5.8579224551014164E-4</v>
      </c>
      <c r="AM228" s="41">
        <f t="shared" si="156"/>
        <v>-6.4141577532529317E-2</v>
      </c>
      <c r="AN228" s="41">
        <f t="shared" si="157"/>
        <v>-3.6750416839250746</v>
      </c>
      <c r="AO228" s="42">
        <f t="shared" si="158"/>
        <v>6.4141577532529317E-2</v>
      </c>
      <c r="AP228" s="41">
        <f t="shared" si="173"/>
        <v>-0.27322698382511479</v>
      </c>
      <c r="AQ228" s="41">
        <f t="shared" si="174"/>
        <v>-6.4171626142425775E-2</v>
      </c>
      <c r="AR228" s="43">
        <f t="shared" si="138"/>
        <v>0.57724414918286737</v>
      </c>
      <c r="AS228" s="41">
        <f t="shared" si="139"/>
        <v>33.073653496798372</v>
      </c>
      <c r="AU228" s="48">
        <f t="shared" si="175"/>
        <v>6.3552323847880163E-2</v>
      </c>
      <c r="AV228" s="48">
        <f t="shared" si="159"/>
        <v>3.6412799347321454</v>
      </c>
      <c r="AW228" s="49">
        <f t="shared" si="160"/>
        <v>0.51369182533498725</v>
      </c>
      <c r="AX228" s="48">
        <f t="shared" si="176"/>
        <v>-0.5102271040313725</v>
      </c>
      <c r="AY228" s="48">
        <f t="shared" si="177"/>
        <v>-0.51734272517968138</v>
      </c>
      <c r="AZ228" s="50">
        <f t="shared" si="161"/>
        <v>-4.3427289813310899E-3</v>
      </c>
      <c r="BA228" s="48">
        <f t="shared" si="162"/>
        <v>-0.24882004219941872</v>
      </c>
      <c r="BB228" s="52">
        <f t="shared" si="178"/>
        <v>-6.1416679413614991E-2</v>
      </c>
      <c r="BC228" s="44">
        <f t="shared" si="163"/>
        <v>6.3552323847880163E-2</v>
      </c>
    </row>
    <row r="229" spans="4:55" x14ac:dyDescent="0.3">
      <c r="D229">
        <f t="shared" si="164"/>
        <v>2.2699999999999956</v>
      </c>
      <c r="F229" s="5">
        <f t="shared" si="140"/>
        <v>0.86710098211631725</v>
      </c>
      <c r="G229" s="6">
        <f t="shared" si="141"/>
        <v>49.681226686913654</v>
      </c>
      <c r="I229" s="9">
        <f t="shared" si="142"/>
        <v>0.8674099807751906</v>
      </c>
      <c r="J229" s="9">
        <f t="shared" si="143"/>
        <v>49.698931005942299</v>
      </c>
      <c r="K229" s="9">
        <f t="shared" si="144"/>
        <v>-6.0359012715033646</v>
      </c>
      <c r="L229" s="9">
        <f t="shared" si="145"/>
        <v>-0.1053463505130459</v>
      </c>
      <c r="M229" s="11">
        <f t="shared" si="135"/>
        <v>1.1702113547164661E-2</v>
      </c>
      <c r="O229" s="15">
        <f t="shared" si="146"/>
        <v>0.87240021849129712</v>
      </c>
      <c r="P229" s="15">
        <f t="shared" si="147"/>
        <v>49.984850565842201</v>
      </c>
      <c r="Q229" s="15">
        <v>-6.0359012715033602</v>
      </c>
      <c r="R229" s="15">
        <f t="shared" si="148"/>
        <v>-0.10534635051304582</v>
      </c>
      <c r="S229" s="16">
        <f t="shared" si="136"/>
        <v>5.8883645339902202E-4</v>
      </c>
      <c r="U229" s="23">
        <f t="shared" si="165"/>
        <v>0.8686212235897478</v>
      </c>
      <c r="V229" s="23">
        <f t="shared" si="149"/>
        <v>49.768330107181974</v>
      </c>
      <c r="W229" s="23">
        <f t="shared" si="150"/>
        <v>4.0434024074169628E-3</v>
      </c>
      <c r="X229" s="23">
        <f t="shared" si="166"/>
        <v>4.8500692646680589E-2</v>
      </c>
      <c r="Y229" s="23">
        <f t="shared" si="167"/>
        <v>-3.9183154388111596E-3</v>
      </c>
      <c r="Z229" s="26">
        <f t="shared" si="151"/>
        <v>-0.10506859853100105</v>
      </c>
      <c r="AA229" s="23">
        <f t="shared" si="152"/>
        <v>-6.0199872551808014</v>
      </c>
      <c r="AB229" s="24">
        <f t="shared" si="168"/>
        <v>3.8807088886319008E-3</v>
      </c>
      <c r="AD229" s="33">
        <f t="shared" si="169"/>
        <v>0.87326911887496872</v>
      </c>
      <c r="AE229" s="33">
        <f t="shared" si="153"/>
        <v>50.034634890643886</v>
      </c>
      <c r="AF229" s="33">
        <f t="shared" si="154"/>
        <v>-6.0449287780395267E-4</v>
      </c>
      <c r="AG229" s="33">
        <f t="shared" si="170"/>
        <v>5.3296965759240186E-2</v>
      </c>
      <c r="AH229" s="33">
        <f t="shared" si="171"/>
        <v>5.8579224551102982E-4</v>
      </c>
      <c r="AI229" s="35">
        <f t="shared" si="137"/>
        <v>-0.10538787472410002</v>
      </c>
      <c r="AJ229" s="33">
        <f t="shared" si="155"/>
        <v>-6.0382804335443767</v>
      </c>
      <c r="AK229" s="37">
        <f t="shared" si="172"/>
        <v>-5.8017002702959175E-4</v>
      </c>
      <c r="AM229" s="41">
        <f t="shared" si="156"/>
        <v>-6.3506054294050512E-2</v>
      </c>
      <c r="AN229" s="41">
        <f t="shared" si="157"/>
        <v>-3.638628884577753</v>
      </c>
      <c r="AO229" s="42">
        <f t="shared" si="158"/>
        <v>6.3506054294050512E-2</v>
      </c>
      <c r="AP229" s="41">
        <f t="shared" si="173"/>
        <v>-0.2725919232821743</v>
      </c>
      <c r="AQ229" s="41">
        <f t="shared" si="174"/>
        <v>-6.355232384788051E-2</v>
      </c>
      <c r="AR229" s="43">
        <f t="shared" si="138"/>
        <v>0.57150821909262461</v>
      </c>
      <c r="AS229" s="41">
        <f t="shared" si="139"/>
        <v>32.745008911045367</v>
      </c>
      <c r="AU229" s="48">
        <f t="shared" si="175"/>
        <v>6.2938157053744018E-2</v>
      </c>
      <c r="AV229" s="48">
        <f t="shared" si="159"/>
        <v>3.6060907695110642</v>
      </c>
      <c r="AW229" s="49">
        <f t="shared" si="160"/>
        <v>0.50857006203888055</v>
      </c>
      <c r="AX229" s="48">
        <f t="shared" si="176"/>
        <v>-0.50514140341098368</v>
      </c>
      <c r="AY229" s="48">
        <f t="shared" si="177"/>
        <v>-0.51217632961066961</v>
      </c>
      <c r="AZ229" s="50">
        <f t="shared" si="161"/>
        <v>-4.2964356077404009E-3</v>
      </c>
      <c r="BA229" s="48">
        <f t="shared" si="162"/>
        <v>-0.24616762727324987</v>
      </c>
      <c r="BB229" s="52">
        <f t="shared" si="178"/>
        <v>-6.0902946948902983E-2</v>
      </c>
      <c r="BC229" s="44">
        <f t="shared" si="163"/>
        <v>6.2938157053744018E-2</v>
      </c>
    </row>
    <row r="230" spans="4:55" x14ac:dyDescent="0.3">
      <c r="D230">
        <f t="shared" si="164"/>
        <v>2.2799999999999954</v>
      </c>
      <c r="F230" s="5">
        <f t="shared" si="140"/>
        <v>0.8672235151907316</v>
      </c>
      <c r="G230" s="6">
        <f t="shared" si="141"/>
        <v>49.688247314928354</v>
      </c>
      <c r="I230" s="9">
        <f t="shared" si="142"/>
        <v>0.86752700191066223</v>
      </c>
      <c r="J230" s="9">
        <f t="shared" si="143"/>
        <v>49.705635823118648</v>
      </c>
      <c r="K230" s="9">
        <f t="shared" si="144"/>
        <v>-6.0359012715033646</v>
      </c>
      <c r="L230" s="9">
        <f t="shared" si="145"/>
        <v>-0.1053463505130459</v>
      </c>
      <c r="M230" s="11">
        <f t="shared" si="135"/>
        <v>1.1441507063404188E-2</v>
      </c>
      <c r="O230" s="15">
        <f t="shared" si="146"/>
        <v>0.87240610685583109</v>
      </c>
      <c r="P230" s="15">
        <f t="shared" si="147"/>
        <v>49.985187944278238</v>
      </c>
      <c r="Q230" s="15">
        <v>-6.0359012715033602</v>
      </c>
      <c r="R230" s="15">
        <f t="shared" si="148"/>
        <v>-0.10534635051304582</v>
      </c>
      <c r="S230" s="16">
        <f t="shared" si="136"/>
        <v>5.7572304469633018E-4</v>
      </c>
      <c r="U230" s="23">
        <f t="shared" si="165"/>
        <v>0.86866003067863418</v>
      </c>
      <c r="V230" s="23">
        <f t="shared" si="149"/>
        <v>49.770553589590349</v>
      </c>
      <c r="W230" s="23">
        <f t="shared" si="150"/>
        <v>4.0045953185305905E-3</v>
      </c>
      <c r="X230" s="23">
        <f t="shared" si="166"/>
        <v>4.8540738599865893E-2</v>
      </c>
      <c r="Y230" s="23">
        <f t="shared" si="167"/>
        <v>-3.8807088886372298E-3</v>
      </c>
      <c r="Z230" s="26">
        <f t="shared" si="151"/>
        <v>-0.10507126429234978</v>
      </c>
      <c r="AA230" s="23">
        <f t="shared" si="152"/>
        <v>-6.0201399920552729</v>
      </c>
      <c r="AB230" s="24">
        <f t="shared" si="168"/>
        <v>3.8434632722874618E-3</v>
      </c>
      <c r="AD230" s="33">
        <f t="shared" si="169"/>
        <v>0.87326331717469841</v>
      </c>
      <c r="AE230" s="33">
        <f t="shared" si="153"/>
        <v>50.034302477704394</v>
      </c>
      <c r="AF230" s="33">
        <f t="shared" si="154"/>
        <v>-5.9869117753363899E-4</v>
      </c>
      <c r="AG230" s="33">
        <f t="shared" si="170"/>
        <v>5.3290978847464851E-2</v>
      </c>
      <c r="AH230" s="33">
        <f t="shared" si="171"/>
        <v>5.8017002703136811E-4</v>
      </c>
      <c r="AI230" s="35">
        <f t="shared" si="137"/>
        <v>-0.10538747618999758</v>
      </c>
      <c r="AJ230" s="33">
        <f t="shared" si="155"/>
        <v>-6.0382575992223142</v>
      </c>
      <c r="AK230" s="37">
        <f t="shared" si="172"/>
        <v>-5.7460176853352252E-4</v>
      </c>
      <c r="AM230" s="41">
        <f t="shared" si="156"/>
        <v>-6.2876672723513077E-2</v>
      </c>
      <c r="AN230" s="41">
        <f t="shared" si="157"/>
        <v>-3.6025679768826429</v>
      </c>
      <c r="AO230" s="42">
        <f t="shared" si="158"/>
        <v>6.2876672723513077E-2</v>
      </c>
      <c r="AP230" s="41">
        <f t="shared" si="173"/>
        <v>-0.27196315655493919</v>
      </c>
      <c r="AQ230" s="41">
        <f t="shared" si="174"/>
        <v>-6.2938157053743504E-2</v>
      </c>
      <c r="AR230" s="43">
        <f t="shared" si="138"/>
        <v>0.56582857018138721</v>
      </c>
      <c r="AS230" s="41">
        <f t="shared" si="139"/>
        <v>32.419588999315387</v>
      </c>
      <c r="AU230" s="48">
        <f t="shared" si="175"/>
        <v>6.232912758425499E-2</v>
      </c>
      <c r="AV230" s="48">
        <f t="shared" si="159"/>
        <v>3.5711959513102514</v>
      </c>
      <c r="AW230" s="49">
        <f t="shared" si="160"/>
        <v>0.5034994425971322</v>
      </c>
      <c r="AX230" s="48">
        <f t="shared" si="176"/>
        <v>-0.50010640898501235</v>
      </c>
      <c r="AY230" s="48">
        <f t="shared" si="177"/>
        <v>-0.50706194417483585</v>
      </c>
      <c r="AZ230" s="50">
        <f t="shared" si="161"/>
        <v>-4.2507575033655098E-3</v>
      </c>
      <c r="BA230" s="48">
        <f t="shared" si="162"/>
        <v>-0.24355046467641053</v>
      </c>
      <c r="BB230" s="52">
        <f t="shared" si="178"/>
        <v>-6.0389304851089995E-2</v>
      </c>
      <c r="BC230" s="44">
        <f t="shared" si="163"/>
        <v>6.232912758425499E-2</v>
      </c>
    </row>
    <row r="231" spans="4:55" x14ac:dyDescent="0.3">
      <c r="D231">
        <f t="shared" si="164"/>
        <v>2.2899999999999952</v>
      </c>
      <c r="F231" s="5">
        <f t="shared" si="140"/>
        <v>0.86734334961033488</v>
      </c>
      <c r="G231" s="6">
        <f t="shared" si="141"/>
        <v>49.695113321412023</v>
      </c>
      <c r="I231" s="9">
        <f t="shared" si="142"/>
        <v>0.86764141698129627</v>
      </c>
      <c r="J231" s="9">
        <f t="shared" si="143"/>
        <v>49.712191323778669</v>
      </c>
      <c r="K231" s="9">
        <f t="shared" si="144"/>
        <v>-6.0359012715033646</v>
      </c>
      <c r="L231" s="9">
        <f t="shared" si="145"/>
        <v>-0.1053463505130459</v>
      </c>
      <c r="M231" s="11">
        <f t="shared" si="135"/>
        <v>1.1186704295280236E-2</v>
      </c>
      <c r="O231" s="15">
        <f t="shared" si="146"/>
        <v>0.87241186408627802</v>
      </c>
      <c r="P231" s="15">
        <f t="shared" si="147"/>
        <v>49.985517809284531</v>
      </c>
      <c r="Q231" s="15">
        <v>-6.0359012715033602</v>
      </c>
      <c r="R231" s="15">
        <f t="shared" si="148"/>
        <v>-0.10534635051304582</v>
      </c>
      <c r="S231" s="16">
        <f t="shared" si="136"/>
        <v>5.6290167207073694E-4</v>
      </c>
      <c r="U231" s="23">
        <f t="shared" si="165"/>
        <v>0.86869846531135708</v>
      </c>
      <c r="V231" s="23">
        <f t="shared" si="149"/>
        <v>49.772755731832511</v>
      </c>
      <c r="W231" s="23">
        <f t="shared" si="150"/>
        <v>3.9661606858076848E-3</v>
      </c>
      <c r="X231" s="23">
        <f t="shared" si="166"/>
        <v>4.8580400206723967E-2</v>
      </c>
      <c r="Y231" s="23">
        <f t="shared" si="167"/>
        <v>-3.8434632722905704E-3</v>
      </c>
      <c r="Z231" s="26">
        <f t="shared" si="151"/>
        <v>-0.10507390446870185</v>
      </c>
      <c r="AA231" s="23">
        <f t="shared" si="152"/>
        <v>-6.020291263017417</v>
      </c>
      <c r="AB231" s="24">
        <f t="shared" si="168"/>
        <v>3.8065751256695091E-3</v>
      </c>
      <c r="AD231" s="33">
        <f t="shared" si="169"/>
        <v>0.87325757115701308</v>
      </c>
      <c r="AE231" s="33">
        <f t="shared" si="153"/>
        <v>50.033973255142016</v>
      </c>
      <c r="AF231" s="33">
        <f t="shared" si="154"/>
        <v>-5.9294515984831264E-4</v>
      </c>
      <c r="AG231" s="33">
        <f t="shared" si="170"/>
        <v>5.3285049395866368E-2</v>
      </c>
      <c r="AH231" s="33">
        <f t="shared" si="171"/>
        <v>5.7460176853263434E-4</v>
      </c>
      <c r="AI231" s="35">
        <f t="shared" si="137"/>
        <v>-0.10538708148087877</v>
      </c>
      <c r="AJ231" s="33">
        <f t="shared" si="155"/>
        <v>-6.0382349840556717</v>
      </c>
      <c r="AK231" s="37">
        <f t="shared" si="172"/>
        <v>-5.6908695213531146E-4</v>
      </c>
      <c r="AM231" s="41">
        <f t="shared" si="156"/>
        <v>-6.2253381447670529E-2</v>
      </c>
      <c r="AN231" s="41">
        <f t="shared" si="157"/>
        <v>-3.5668560173695401</v>
      </c>
      <c r="AO231" s="42">
        <f t="shared" si="158"/>
        <v>6.2253381447670529E-2</v>
      </c>
      <c r="AP231" s="41">
        <f t="shared" si="173"/>
        <v>-0.2713406227404625</v>
      </c>
      <c r="AQ231" s="41">
        <f t="shared" si="174"/>
        <v>-6.2329127584254823E-2</v>
      </c>
      <c r="AR231" s="43">
        <f t="shared" si="138"/>
        <v>0.56020468689245051</v>
      </c>
      <c r="AS231" s="41">
        <f t="shared" si="139"/>
        <v>32.09736422238516</v>
      </c>
      <c r="AU231" s="48">
        <f t="shared" si="175"/>
        <v>6.1725234535744092E-2</v>
      </c>
      <c r="AV231" s="48">
        <f t="shared" si="159"/>
        <v>3.5365954283532877</v>
      </c>
      <c r="AW231" s="49">
        <f t="shared" si="160"/>
        <v>0.49847945235670643</v>
      </c>
      <c r="AX231" s="48">
        <f t="shared" si="176"/>
        <v>-0.49512161446144531</v>
      </c>
      <c r="AY231" s="48">
        <f t="shared" si="177"/>
        <v>-0.50199902404257646</v>
      </c>
      <c r="AZ231" s="50">
        <f t="shared" si="161"/>
        <v>-4.205680670309353E-3</v>
      </c>
      <c r="BA231" s="48">
        <f t="shared" si="162"/>
        <v>-0.24096775238847695</v>
      </c>
      <c r="BB231" s="52">
        <f t="shared" si="178"/>
        <v>-5.9876009340607231E-2</v>
      </c>
      <c r="BC231" s="44">
        <f t="shared" si="163"/>
        <v>6.1725234535744092E-2</v>
      </c>
    </row>
    <row r="232" spans="4:55" x14ac:dyDescent="0.3">
      <c r="D232">
        <f t="shared" si="164"/>
        <v>2.2999999999999949</v>
      </c>
      <c r="F232" s="5">
        <f t="shared" si="140"/>
        <v>0.8674605448100009</v>
      </c>
      <c r="G232" s="6">
        <f t="shared" si="141"/>
        <v>49.701828111732077</v>
      </c>
      <c r="I232" s="9">
        <f t="shared" si="142"/>
        <v>0.86775328402424912</v>
      </c>
      <c r="J232" s="9">
        <f t="shared" si="143"/>
        <v>49.71860083320648</v>
      </c>
      <c r="K232" s="9">
        <f t="shared" si="144"/>
        <v>-6.0359012715033646</v>
      </c>
      <c r="L232" s="9">
        <f t="shared" si="145"/>
        <v>-0.1053463505130459</v>
      </c>
      <c r="M232" s="11">
        <f t="shared" si="135"/>
        <v>1.0937575993840598E-2</v>
      </c>
      <c r="O232" s="15">
        <f t="shared" si="146"/>
        <v>0.87241749310299876</v>
      </c>
      <c r="P232" s="15">
        <f t="shared" si="147"/>
        <v>49.985840328185432</v>
      </c>
      <c r="Q232" s="15">
        <v>-6.0359012715033602</v>
      </c>
      <c r="R232" s="15">
        <f t="shared" si="148"/>
        <v>-0.10534635051304582</v>
      </c>
      <c r="S232" s="16">
        <f t="shared" si="136"/>
        <v>5.5036583186773846E-4</v>
      </c>
      <c r="U232" s="23">
        <f t="shared" si="165"/>
        <v>0.86873653106261373</v>
      </c>
      <c r="V232" s="23">
        <f t="shared" si="149"/>
        <v>49.774936738723511</v>
      </c>
      <c r="W232" s="23">
        <f t="shared" si="150"/>
        <v>3.9280949345510408E-3</v>
      </c>
      <c r="X232" s="23">
        <f t="shared" si="166"/>
        <v>4.8619681156069475E-2</v>
      </c>
      <c r="Y232" s="23">
        <f t="shared" si="167"/>
        <v>-3.806575125664402E-3</v>
      </c>
      <c r="Z232" s="26">
        <f t="shared" si="151"/>
        <v>-0.10507651930561271</v>
      </c>
      <c r="AA232" s="23">
        <f t="shared" si="152"/>
        <v>-6.0204410821365242</v>
      </c>
      <c r="AB232" s="24">
        <f t="shared" si="168"/>
        <v>3.7700410179168919E-3</v>
      </c>
      <c r="AD232" s="33">
        <f t="shared" si="169"/>
        <v>0.87325188028749168</v>
      </c>
      <c r="AE232" s="33">
        <f t="shared" si="153"/>
        <v>50.03364719233668</v>
      </c>
      <c r="AF232" s="33">
        <f t="shared" si="154"/>
        <v>-5.8725429032691068E-4</v>
      </c>
      <c r="AG232" s="33">
        <f t="shared" si="170"/>
        <v>5.32791768529631E-2</v>
      </c>
      <c r="AH232" s="33">
        <f t="shared" si="171"/>
        <v>5.6908695214019644E-4</v>
      </c>
      <c r="AI232" s="35">
        <f t="shared" si="137"/>
        <v>-0.10538669056003308</v>
      </c>
      <c r="AJ232" s="33">
        <f t="shared" si="155"/>
        <v>-6.03821258594109</v>
      </c>
      <c r="AK232" s="37">
        <f t="shared" si="172"/>
        <v>-5.6362506491214326E-4</v>
      </c>
      <c r="AM232" s="41">
        <f t="shared" si="156"/>
        <v>-6.1636129102313086E-2</v>
      </c>
      <c r="AN232" s="41">
        <f t="shared" si="157"/>
        <v>-3.5314900630860073</v>
      </c>
      <c r="AO232" s="42">
        <f t="shared" si="158"/>
        <v>6.1636129102313086E-2</v>
      </c>
      <c r="AP232" s="41">
        <f t="shared" si="173"/>
        <v>-0.2707242614494394</v>
      </c>
      <c r="AQ232" s="41">
        <f t="shared" si="174"/>
        <v>-6.1725234535744272E-2</v>
      </c>
      <c r="AR232" s="43">
        <f t="shared" si="138"/>
        <v>0.55463605648738656</v>
      </c>
      <c r="AS232" s="41">
        <f t="shared" si="139"/>
        <v>31.778305202506772</v>
      </c>
      <c r="AU232" s="48">
        <f t="shared" si="175"/>
        <v>6.112647444233802E-2</v>
      </c>
      <c r="AV232" s="48">
        <f t="shared" si="159"/>
        <v>3.5022890020602611</v>
      </c>
      <c r="AW232" s="49">
        <f t="shared" si="160"/>
        <v>0.49350958204504852</v>
      </c>
      <c r="AX232" s="48">
        <f t="shared" si="176"/>
        <v>-0.49018651864099483</v>
      </c>
      <c r="AY232" s="48">
        <f t="shared" si="177"/>
        <v>-0.4969870311657909</v>
      </c>
      <c r="AZ232" s="50">
        <f t="shared" si="161"/>
        <v>-4.1611916522784342E-3</v>
      </c>
      <c r="BA232" s="48">
        <f t="shared" si="162"/>
        <v>-0.2384187194206239</v>
      </c>
      <c r="BB232" s="52">
        <f t="shared" si="178"/>
        <v>-5.936330094035655E-2</v>
      </c>
      <c r="BC232" s="44">
        <f t="shared" si="163"/>
        <v>6.112647444233802E-2</v>
      </c>
    </row>
    <row r="233" spans="4:55" x14ac:dyDescent="0.3">
      <c r="D233">
        <f t="shared" si="164"/>
        <v>2.3099999999999947</v>
      </c>
      <c r="F233" s="5">
        <f t="shared" si="140"/>
        <v>0.8675751589156161</v>
      </c>
      <c r="G233" s="6">
        <f t="shared" si="141"/>
        <v>49.708395016256496</v>
      </c>
      <c r="I233" s="9">
        <f t="shared" si="142"/>
        <v>0.86786265978418753</v>
      </c>
      <c r="J233" s="9">
        <f t="shared" si="143"/>
        <v>49.724867602631988</v>
      </c>
      <c r="K233" s="9">
        <f t="shared" si="144"/>
        <v>-6.0359012715033646</v>
      </c>
      <c r="L233" s="9">
        <f t="shared" si="145"/>
        <v>-0.1053463505130459</v>
      </c>
      <c r="M233" s="11">
        <f t="shared" si="135"/>
        <v>1.0693995788510158E-2</v>
      </c>
      <c r="O233" s="15">
        <f t="shared" si="146"/>
        <v>0.8724229967613174</v>
      </c>
      <c r="P233" s="15">
        <f t="shared" si="147"/>
        <v>49.986155664578973</v>
      </c>
      <c r="Q233" s="15">
        <v>-6.0359012715033602</v>
      </c>
      <c r="R233" s="15">
        <f t="shared" si="148"/>
        <v>-0.10534635051304582</v>
      </c>
      <c r="S233" s="16">
        <f t="shared" si="136"/>
        <v>5.381091652714165E-4</v>
      </c>
      <c r="U233" s="23">
        <f t="shared" si="165"/>
        <v>0.86877423147279287</v>
      </c>
      <c r="V233" s="23">
        <f t="shared" si="149"/>
        <v>49.777096813112685</v>
      </c>
      <c r="W233" s="23">
        <f t="shared" si="150"/>
        <v>3.8903945243718985E-3</v>
      </c>
      <c r="X233" s="23">
        <f t="shared" si="166"/>
        <v>4.8658585101313191E-2</v>
      </c>
      <c r="Y233" s="23">
        <f t="shared" si="167"/>
        <v>-3.7700410179142274E-3</v>
      </c>
      <c r="Z233" s="26">
        <f t="shared" si="151"/>
        <v>-0.10507910904628061</v>
      </c>
      <c r="AA233" s="23">
        <f t="shared" si="152"/>
        <v>-6.0205894633468278</v>
      </c>
      <c r="AB233" s="24">
        <f t="shared" si="168"/>
        <v>3.7338575510874605E-3</v>
      </c>
      <c r="AD233" s="33">
        <f t="shared" si="169"/>
        <v>0.87324624403684259</v>
      </c>
      <c r="AE233" s="33">
        <f t="shared" si="153"/>
        <v>50.03332425896221</v>
      </c>
      <c r="AF233" s="33">
        <f t="shared" si="154"/>
        <v>-5.8161803967782255E-4</v>
      </c>
      <c r="AG233" s="33">
        <f t="shared" si="170"/>
        <v>5.3273360672566321E-2</v>
      </c>
      <c r="AH233" s="33">
        <f t="shared" si="171"/>
        <v>5.6362506490881259E-4</v>
      </c>
      <c r="AI233" s="35">
        <f t="shared" si="137"/>
        <v>-0.10538630339110154</v>
      </c>
      <c r="AJ233" s="33">
        <f t="shared" si="155"/>
        <v>-6.0381904027953537</v>
      </c>
      <c r="AK233" s="37">
        <f t="shared" si="172"/>
        <v>-5.5821559887969663E-4</v>
      </c>
      <c r="AM233" s="41">
        <f t="shared" si="156"/>
        <v>-6.1024864357889709E-2</v>
      </c>
      <c r="AN233" s="41">
        <f t="shared" si="157"/>
        <v>-3.4964671730654047</v>
      </c>
      <c r="AO233" s="42">
        <f t="shared" si="158"/>
        <v>6.1024864357889709E-2</v>
      </c>
      <c r="AP233" s="41">
        <f t="shared" si="173"/>
        <v>-0.2701140128058605</v>
      </c>
      <c r="AQ233" s="41">
        <f t="shared" si="174"/>
        <v>-6.1126474442337736E-2</v>
      </c>
      <c r="AR233" s="43">
        <f t="shared" si="138"/>
        <v>0.54912216913655931</v>
      </c>
      <c r="AS233" s="41">
        <f t="shared" si="139"/>
        <v>31.462382728593802</v>
      </c>
      <c r="AU233" s="48">
        <f t="shared" si="175"/>
        <v>6.0532841432934456E-2</v>
      </c>
      <c r="AV233" s="48">
        <f t="shared" si="159"/>
        <v>3.4682763360417868</v>
      </c>
      <c r="AW233" s="49">
        <f t="shared" si="160"/>
        <v>0.48858932770362484</v>
      </c>
      <c r="AX233" s="48">
        <f t="shared" si="176"/>
        <v>-0.48530062536395857</v>
      </c>
      <c r="AY233" s="48">
        <f t="shared" si="177"/>
        <v>-0.49202543414236799</v>
      </c>
      <c r="AZ233" s="50">
        <f t="shared" si="161"/>
        <v>-4.1172775086207036E-3</v>
      </c>
      <c r="BA233" s="48">
        <f t="shared" si="162"/>
        <v>-0.23590262432810474</v>
      </c>
      <c r="BB233" s="52">
        <f t="shared" si="178"/>
        <v>-5.8851405304244098E-2</v>
      </c>
      <c r="BC233" s="44">
        <f t="shared" si="163"/>
        <v>6.0532841432934456E-2</v>
      </c>
    </row>
    <row r="234" spans="4:55" x14ac:dyDescent="0.3">
      <c r="D234">
        <f t="shared" si="164"/>
        <v>2.3199999999999945</v>
      </c>
      <c r="F234" s="5">
        <f t="shared" si="140"/>
        <v>0.86768724877290893</v>
      </c>
      <c r="G234" s="6">
        <f t="shared" si="141"/>
        <v>49.714817292005598</v>
      </c>
      <c r="I234" s="9">
        <f t="shared" si="142"/>
        <v>0.86796959974207266</v>
      </c>
      <c r="J234" s="9">
        <f t="shared" si="143"/>
        <v>49.730994810880112</v>
      </c>
      <c r="K234" s="9">
        <f t="shared" si="144"/>
        <v>-6.0359012715033646</v>
      </c>
      <c r="L234" s="9">
        <f t="shared" si="145"/>
        <v>-0.1053463505130459</v>
      </c>
      <c r="M234" s="11">
        <f t="shared" si="135"/>
        <v>1.0455840122992166E-2</v>
      </c>
      <c r="O234" s="15">
        <f t="shared" si="146"/>
        <v>0.87242837785297012</v>
      </c>
      <c r="P234" s="15">
        <f t="shared" si="147"/>
        <v>49.986463978419849</v>
      </c>
      <c r="Q234" s="15">
        <v>-6.0359012715033602</v>
      </c>
      <c r="R234" s="15">
        <f t="shared" si="148"/>
        <v>-0.10534635051304582</v>
      </c>
      <c r="S234" s="16">
        <f t="shared" si="136"/>
        <v>5.2612545507435549E-4</v>
      </c>
      <c r="U234" s="23">
        <f t="shared" si="165"/>
        <v>0.86881157004830378</v>
      </c>
      <c r="V234" s="23">
        <f t="shared" si="149"/>
        <v>49.779236155902488</v>
      </c>
      <c r="W234" s="23">
        <f t="shared" si="150"/>
        <v>3.8530559488609839E-3</v>
      </c>
      <c r="X234" s="23">
        <f t="shared" si="166"/>
        <v>4.8697115660801801E-2</v>
      </c>
      <c r="Y234" s="23">
        <f t="shared" si="167"/>
        <v>-3.7338575510914573E-3</v>
      </c>
      <c r="Z234" s="26">
        <f t="shared" si="151"/>
        <v>-0.10508167393157011</v>
      </c>
      <c r="AA234" s="23">
        <f t="shared" si="152"/>
        <v>-6.020736420448852</v>
      </c>
      <c r="AB234" s="24">
        <f t="shared" si="168"/>
        <v>3.6980213598591938E-3</v>
      </c>
      <c r="AD234" s="33">
        <f t="shared" si="169"/>
        <v>0.87324066188085381</v>
      </c>
      <c r="AE234" s="33">
        <f t="shared" si="153"/>
        <v>50.033004424983474</v>
      </c>
      <c r="AF234" s="33">
        <f t="shared" si="154"/>
        <v>-5.7603588368904113E-4</v>
      </c>
      <c r="AG234" s="33">
        <f t="shared" si="170"/>
        <v>5.326760031372943E-2</v>
      </c>
      <c r="AH234" s="33">
        <f t="shared" si="171"/>
        <v>5.5821559887814232E-4</v>
      </c>
      <c r="AI234" s="35">
        <f t="shared" si="137"/>
        <v>-0.10538591993807517</v>
      </c>
      <c r="AJ234" s="33">
        <f t="shared" si="155"/>
        <v>-6.0381684325553007</v>
      </c>
      <c r="AK234" s="37">
        <f t="shared" si="172"/>
        <v>-5.5285805090887763E-4</v>
      </c>
      <c r="AM234" s="41">
        <f t="shared" si="156"/>
        <v>-6.0419535943560365E-2</v>
      </c>
      <c r="AN234" s="41">
        <f t="shared" si="157"/>
        <v>-3.461784409704987</v>
      </c>
      <c r="AO234" s="42">
        <f t="shared" si="158"/>
        <v>6.0419535943560365E-2</v>
      </c>
      <c r="AP234" s="41">
        <f t="shared" si="173"/>
        <v>-0.26950981744642488</v>
      </c>
      <c r="AQ234" s="41">
        <f t="shared" si="174"/>
        <v>-6.0532841432934387E-2</v>
      </c>
      <c r="AR234" s="43">
        <f t="shared" si="138"/>
        <v>0.54366251800266929</v>
      </c>
      <c r="AS234" s="41">
        <f t="shared" si="139"/>
        <v>31.14956776100809</v>
      </c>
      <c r="AU234" s="48">
        <f t="shared" si="175"/>
        <v>5.9944327379892012E-2</v>
      </c>
      <c r="AV234" s="48">
        <f t="shared" si="159"/>
        <v>3.4345569646183165</v>
      </c>
      <c r="AW234" s="49">
        <f t="shared" si="160"/>
        <v>0.48371819062277727</v>
      </c>
      <c r="AX234" s="48">
        <f t="shared" si="176"/>
        <v>-0.48046344345773079</v>
      </c>
      <c r="AY234" s="48">
        <f t="shared" si="177"/>
        <v>-0.48711370808475762</v>
      </c>
      <c r="AZ234" s="50">
        <f t="shared" si="161"/>
        <v>-4.0739257896691694E-3</v>
      </c>
      <c r="BA234" s="48">
        <f t="shared" si="162"/>
        <v>-0.23341875379754451</v>
      </c>
      <c r="BB234" s="52">
        <f t="shared" si="178"/>
        <v>-5.8340534003173697E-2</v>
      </c>
      <c r="BC234" s="44">
        <f t="shared" si="163"/>
        <v>5.9944327379892012E-2</v>
      </c>
    </row>
    <row r="235" spans="4:55" x14ac:dyDescent="0.3">
      <c r="D235">
        <f t="shared" si="164"/>
        <v>2.3299999999999943</v>
      </c>
      <c r="F235" s="5">
        <f t="shared" si="140"/>
        <v>0.86779686997564387</v>
      </c>
      <c r="G235" s="6">
        <f t="shared" si="141"/>
        <v>49.721098124267463</v>
      </c>
      <c r="I235" s="9">
        <f t="shared" si="142"/>
        <v>0.86807415814330258</v>
      </c>
      <c r="J235" s="9">
        <f t="shared" si="143"/>
        <v>49.736985565983218</v>
      </c>
      <c r="K235" s="9">
        <f t="shared" si="144"/>
        <v>-6.0359012715033646</v>
      </c>
      <c r="L235" s="9">
        <f t="shared" si="145"/>
        <v>-0.1053463505130459</v>
      </c>
      <c r="M235" s="11">
        <f t="shared" si="135"/>
        <v>1.0222988192592153E-2</v>
      </c>
      <c r="O235" s="15">
        <f t="shared" si="146"/>
        <v>0.87243363910752081</v>
      </c>
      <c r="P235" s="15">
        <f t="shared" si="147"/>
        <v>49.986765426100547</v>
      </c>
      <c r="Q235" s="15">
        <v>-6.0359012715033602</v>
      </c>
      <c r="R235" s="15">
        <f t="shared" si="148"/>
        <v>-0.10534635051304582</v>
      </c>
      <c r="S235" s="16">
        <f t="shared" si="136"/>
        <v>5.1440862252860597E-4</v>
      </c>
      <c r="U235" s="23">
        <f t="shared" si="165"/>
        <v>0.86884855026190233</v>
      </c>
      <c r="V235" s="23">
        <f t="shared" si="149"/>
        <v>49.781354966067184</v>
      </c>
      <c r="W235" s="23">
        <f t="shared" si="150"/>
        <v>3.8160757352624364E-3</v>
      </c>
      <c r="X235" s="23">
        <f t="shared" si="166"/>
        <v>4.8735276418154429E-2</v>
      </c>
      <c r="Y235" s="23">
        <f t="shared" si="167"/>
        <v>-3.6980213598547529E-3</v>
      </c>
      <c r="Z235" s="26">
        <f t="shared" si="151"/>
        <v>-0.10508421420003446</v>
      </c>
      <c r="AA235" s="23">
        <f t="shared" si="152"/>
        <v>-6.0208819671106886</v>
      </c>
      <c r="AB235" s="24">
        <f t="shared" si="168"/>
        <v>3.6625291112177827E-3</v>
      </c>
      <c r="AD235" s="33">
        <f t="shared" si="169"/>
        <v>0.87323513330034475</v>
      </c>
      <c r="AE235" s="33">
        <f t="shared" si="153"/>
        <v>50.0326876606536</v>
      </c>
      <c r="AF235" s="33">
        <f t="shared" si="154"/>
        <v>-5.70507303179979E-4</v>
      </c>
      <c r="AG235" s="33">
        <f t="shared" si="170"/>
        <v>5.3261895240697632E-2</v>
      </c>
      <c r="AH235" s="33">
        <f t="shared" si="171"/>
        <v>5.5285805090621309E-4</v>
      </c>
      <c r="AI235" s="35">
        <f t="shared" si="137"/>
        <v>-0.10538554016528984</v>
      </c>
      <c r="AJ235" s="33">
        <f t="shared" si="155"/>
        <v>-6.0381466731775273</v>
      </c>
      <c r="AK235" s="37">
        <f t="shared" si="172"/>
        <v>-5.475519227136072E-4</v>
      </c>
      <c r="AM235" s="41">
        <f t="shared" si="156"/>
        <v>-5.9820092669761446E-2</v>
      </c>
      <c r="AN235" s="41">
        <f t="shared" si="157"/>
        <v>-3.4274388400588038</v>
      </c>
      <c r="AO235" s="42">
        <f t="shared" si="158"/>
        <v>5.9820092669761446E-2</v>
      </c>
      <c r="AP235" s="41">
        <f t="shared" si="173"/>
        <v>-0.26891161651972728</v>
      </c>
      <c r="AQ235" s="41">
        <f t="shared" si="174"/>
        <v>-5.9944327379891915E-2</v>
      </c>
      <c r="AR235" s="43">
        <f t="shared" si="138"/>
        <v>0.53825659931772263</v>
      </c>
      <c r="AS235" s="41">
        <f t="shared" si="139"/>
        <v>30.839831435969732</v>
      </c>
      <c r="AU235" s="48">
        <f t="shared" si="175"/>
        <v>5.9360922039860278E-2</v>
      </c>
      <c r="AV235" s="48">
        <f t="shared" si="159"/>
        <v>3.4011303008891036</v>
      </c>
      <c r="AW235" s="49">
        <f t="shared" si="160"/>
        <v>0.47889567727786236</v>
      </c>
      <c r="AX235" s="48">
        <f t="shared" si="176"/>
        <v>-0.47567448668495216</v>
      </c>
      <c r="AY235" s="48">
        <f t="shared" si="177"/>
        <v>-0.48225133449149027</v>
      </c>
      <c r="AZ235" s="50">
        <f t="shared" si="161"/>
        <v>-4.0311245133629603E-3</v>
      </c>
      <c r="BA235" s="48">
        <f t="shared" si="162"/>
        <v>-0.23096642130742545</v>
      </c>
      <c r="BB235" s="52">
        <f t="shared" si="178"/>
        <v>-5.7830885269969823E-2</v>
      </c>
      <c r="BC235" s="44">
        <f t="shared" si="163"/>
        <v>5.9360922039860278E-2</v>
      </c>
    </row>
    <row r="236" spans="4:55" x14ac:dyDescent="0.3">
      <c r="D236">
        <f t="shared" si="164"/>
        <v>2.3399999999999941</v>
      </c>
      <c r="F236" s="5">
        <f t="shared" si="140"/>
        <v>0.8679040768931946</v>
      </c>
      <c r="G236" s="6">
        <f t="shared" si="141"/>
        <v>49.727240628177725</v>
      </c>
      <c r="I236" s="9">
        <f t="shared" si="142"/>
        <v>0.86817638802522845</v>
      </c>
      <c r="J236" s="9">
        <f t="shared" si="143"/>
        <v>49.742842906757694</v>
      </c>
      <c r="K236" s="9">
        <f t="shared" si="144"/>
        <v>-6.0359012715033646</v>
      </c>
      <c r="L236" s="9">
        <f t="shared" si="145"/>
        <v>-0.1053463505130459</v>
      </c>
      <c r="M236" s="11">
        <f t="shared" si="135"/>
        <v>9.9953218829416102E-3</v>
      </c>
      <c r="O236" s="15">
        <f t="shared" si="146"/>
        <v>0.87243878319374613</v>
      </c>
      <c r="P236" s="15">
        <f t="shared" si="147"/>
        <v>49.98706016053071</v>
      </c>
      <c r="Q236" s="15">
        <v>-6.0359012715033602</v>
      </c>
      <c r="R236" s="15">
        <f t="shared" si="148"/>
        <v>-0.10534635051304582</v>
      </c>
      <c r="S236" s="16">
        <f t="shared" si="136"/>
        <v>5.0295272425926463E-4</v>
      </c>
      <c r="U236" s="23">
        <f t="shared" si="165"/>
        <v>0.86888517555301448</v>
      </c>
      <c r="V236" s="23">
        <f t="shared" si="149"/>
        <v>49.783453440671344</v>
      </c>
      <c r="W236" s="23">
        <f t="shared" si="150"/>
        <v>3.7794504441502896E-3</v>
      </c>
      <c r="X236" s="23">
        <f t="shared" si="166"/>
        <v>4.8773070922595932E-2</v>
      </c>
      <c r="Y236" s="23">
        <f t="shared" si="167"/>
        <v>-3.6625291112146741E-3</v>
      </c>
      <c r="Z236" s="26">
        <f t="shared" si="151"/>
        <v>-0.10508673008793637</v>
      </c>
      <c r="AA236" s="23">
        <f t="shared" si="152"/>
        <v>-6.0210261168691961</v>
      </c>
      <c r="AB236" s="24">
        <f t="shared" si="168"/>
        <v>3.6273775041195666E-3</v>
      </c>
      <c r="AD236" s="33">
        <f t="shared" si="169"/>
        <v>0.87322965778111761</v>
      </c>
      <c r="AE236" s="33">
        <f t="shared" si="153"/>
        <v>50.032373936511249</v>
      </c>
      <c r="AF236" s="33">
        <f t="shared" si="154"/>
        <v>-5.650317839528407E-4</v>
      </c>
      <c r="AG236" s="33">
        <f t="shared" si="170"/>
        <v>5.3256244922858104E-2</v>
      </c>
      <c r="AH236" s="33">
        <f t="shared" si="171"/>
        <v>5.4755192271382924E-4</v>
      </c>
      <c r="AI236" s="35">
        <f t="shared" si="137"/>
        <v>-0.10538516403742409</v>
      </c>
      <c r="AJ236" s="33">
        <f t="shared" si="155"/>
        <v>-6.0381251226382631</v>
      </c>
      <c r="AK236" s="37">
        <f t="shared" si="172"/>
        <v>-5.422967207828755E-4</v>
      </c>
      <c r="AM236" s="41">
        <f t="shared" si="156"/>
        <v>-5.9226483449362842E-2</v>
      </c>
      <c r="AN236" s="41">
        <f t="shared" si="157"/>
        <v>-3.393427537049913</v>
      </c>
      <c r="AO236" s="42">
        <f t="shared" si="158"/>
        <v>5.9226483449362842E-2</v>
      </c>
      <c r="AP236" s="41">
        <f t="shared" si="173"/>
        <v>-0.26831935168523363</v>
      </c>
      <c r="AQ236" s="41">
        <f t="shared" si="174"/>
        <v>-5.9360922039860403E-2</v>
      </c>
      <c r="AR236" s="43">
        <f t="shared" si="138"/>
        <v>0.532903912453768</v>
      </c>
      <c r="AS236" s="41">
        <f t="shared" si="139"/>
        <v>30.533145069610015</v>
      </c>
      <c r="AU236" s="48">
        <f t="shared" si="175"/>
        <v>5.8782613187160583E-2</v>
      </c>
      <c r="AV236" s="48">
        <f t="shared" si="159"/>
        <v>3.3679956443743579</v>
      </c>
      <c r="AW236" s="49">
        <f t="shared" si="160"/>
        <v>0.4741212992666074</v>
      </c>
      <c r="AX236" s="48">
        <f t="shared" si="176"/>
        <v>-0.4709332736922861</v>
      </c>
      <c r="AY236" s="48">
        <f t="shared" si="177"/>
        <v>-0.4774378011254965</v>
      </c>
      <c r="AZ236" s="50">
        <f t="shared" si="161"/>
        <v>-3.9888621430151094E-3</v>
      </c>
      <c r="BA236" s="48">
        <f t="shared" si="162"/>
        <v>-0.22854496585427475</v>
      </c>
      <c r="BB236" s="52">
        <f t="shared" si="178"/>
        <v>-5.7322644706556722E-2</v>
      </c>
      <c r="BC236" s="44">
        <f t="shared" si="163"/>
        <v>5.8782613187160583E-2</v>
      </c>
    </row>
    <row r="237" spans="4:55" x14ac:dyDescent="0.3">
      <c r="D237">
        <f t="shared" si="164"/>
        <v>2.3499999999999939</v>
      </c>
      <c r="F237" s="5">
        <f t="shared" si="140"/>
        <v>0.86800892269750962</v>
      </c>
      <c r="G237" s="6">
        <f t="shared" si="141"/>
        <v>49.733247850264632</v>
      </c>
      <c r="I237" s="9">
        <f t="shared" si="142"/>
        <v>0.86827634124405784</v>
      </c>
      <c r="J237" s="9">
        <f t="shared" si="143"/>
        <v>49.748569804345365</v>
      </c>
      <c r="K237" s="9">
        <f t="shared" si="144"/>
        <v>-6.0359012715033646</v>
      </c>
      <c r="L237" s="9">
        <f t="shared" si="145"/>
        <v>-0.1053463505130459</v>
      </c>
      <c r="M237" s="11">
        <f t="shared" si="135"/>
        <v>9.7727257100823639E-3</v>
      </c>
      <c r="O237" s="15">
        <f t="shared" si="146"/>
        <v>0.8724438127209887</v>
      </c>
      <c r="P237" s="15">
        <f t="shared" si="147"/>
        <v>49.987348331214655</v>
      </c>
      <c r="Q237" s="15">
        <v>-6.0359012715033602</v>
      </c>
      <c r="R237" s="15">
        <f t="shared" si="148"/>
        <v>-0.10534635051304582</v>
      </c>
      <c r="S237" s="16">
        <f t="shared" si="136"/>
        <v>4.9175194925044075E-4</v>
      </c>
      <c r="U237" s="23">
        <f t="shared" si="165"/>
        <v>0.86892144932805571</v>
      </c>
      <c r="V237" s="23">
        <f t="shared" si="149"/>
        <v>49.785531774888213</v>
      </c>
      <c r="W237" s="23">
        <f t="shared" si="150"/>
        <v>3.7431766691090607E-3</v>
      </c>
      <c r="X237" s="23">
        <f t="shared" si="166"/>
        <v>4.8810502689287022E-2</v>
      </c>
      <c r="Y237" s="23">
        <f t="shared" si="167"/>
        <v>-3.6273775041228973E-3</v>
      </c>
      <c r="Z237" s="26">
        <f t="shared" si="151"/>
        <v>-0.10508922182927155</v>
      </c>
      <c r="AA237" s="23">
        <f t="shared" si="152"/>
        <v>-6.0211688831313408</v>
      </c>
      <c r="AB237" s="24">
        <f t="shared" si="168"/>
        <v>3.5925632692119791E-3</v>
      </c>
      <c r="AD237" s="33">
        <f t="shared" si="169"/>
        <v>0.87322423481390976</v>
      </c>
      <c r="AE237" s="33">
        <f t="shared" si="153"/>
        <v>50.032063223377797</v>
      </c>
      <c r="AF237" s="33">
        <f t="shared" si="154"/>
        <v>-5.5960881674499419E-4</v>
      </c>
      <c r="AG237" s="33">
        <f t="shared" si="170"/>
        <v>5.3250648834690655E-2</v>
      </c>
      <c r="AH237" s="33">
        <f t="shared" si="171"/>
        <v>5.4229672078465185E-4</v>
      </c>
      <c r="AI237" s="35">
        <f t="shared" si="137"/>
        <v>-0.10538479151949524</v>
      </c>
      <c r="AJ237" s="33">
        <f t="shared" si="155"/>
        <v>-6.0381037789331478</v>
      </c>
      <c r="AK237" s="37">
        <f t="shared" si="172"/>
        <v>-5.3709195634721318E-4</v>
      </c>
      <c r="AM237" s="41">
        <f t="shared" si="156"/>
        <v>-5.8638657317491238E-2</v>
      </c>
      <c r="AN237" s="41">
        <f t="shared" si="157"/>
        <v>-3.3597475806061694</v>
      </c>
      <c r="AO237" s="42">
        <f t="shared" si="158"/>
        <v>5.8638657317491238E-2</v>
      </c>
      <c r="AP237" s="41">
        <f t="shared" si="173"/>
        <v>-0.26773296511205874</v>
      </c>
      <c r="AQ237" s="41">
        <f t="shared" si="174"/>
        <v>-5.8782613187160354E-2</v>
      </c>
      <c r="AR237" s="43">
        <f t="shared" si="138"/>
        <v>0.527603959987752</v>
      </c>
      <c r="AS237" s="41">
        <f t="shared" si="139"/>
        <v>30.229480161687349</v>
      </c>
      <c r="AU237" s="48">
        <f t="shared" si="175"/>
        <v>5.8209386740095015E-2</v>
      </c>
      <c r="AV237" s="48">
        <f t="shared" si="159"/>
        <v>3.3351521882522217</v>
      </c>
      <c r="AW237" s="49">
        <f t="shared" si="160"/>
        <v>0.46939457324765699</v>
      </c>
      <c r="AX237" s="48">
        <f t="shared" si="176"/>
        <v>-0.46623932795980955</v>
      </c>
      <c r="AY237" s="48">
        <f t="shared" si="177"/>
        <v>-0.47267260189504112</v>
      </c>
      <c r="AZ237" s="50">
        <f t="shared" si="161"/>
        <v>-3.947127566219677E-3</v>
      </c>
      <c r="BA237" s="48">
        <f t="shared" si="162"/>
        <v>-0.22615375074413185</v>
      </c>
      <c r="BB237" s="52">
        <f t="shared" si="178"/>
        <v>-5.6815985954369985E-2</v>
      </c>
      <c r="BC237" s="44">
        <f t="shared" si="163"/>
        <v>5.8209386740095015E-2</v>
      </c>
    </row>
    <row r="238" spans="4:55" x14ac:dyDescent="0.3">
      <c r="D238">
        <f t="shared" si="164"/>
        <v>2.3599999999999937</v>
      </c>
      <c r="F238" s="5">
        <f t="shared" si="140"/>
        <v>0.86811145938948431</v>
      </c>
      <c r="G238" s="6">
        <f t="shared" si="141"/>
        <v>49.739122769960012</v>
      </c>
      <c r="I238" s="9">
        <f t="shared" si="142"/>
        <v>0.86837406850115861</v>
      </c>
      <c r="J238" s="9">
        <f t="shared" si="143"/>
        <v>49.754169163720633</v>
      </c>
      <c r="K238" s="9">
        <f t="shared" si="144"/>
        <v>-6.0359012715033646</v>
      </c>
      <c r="L238" s="9">
        <f t="shared" si="145"/>
        <v>-0.1053463505130459</v>
      </c>
      <c r="M238" s="11">
        <f t="shared" si="135"/>
        <v>9.5550867618876545E-3</v>
      </c>
      <c r="O238" s="15">
        <f t="shared" si="146"/>
        <v>0.8724487302404812</v>
      </c>
      <c r="P238" s="15">
        <f t="shared" si="147"/>
        <v>49.98763008432725</v>
      </c>
      <c r="Q238" s="15">
        <v>-6.0359012715033602</v>
      </c>
      <c r="R238" s="15">
        <f t="shared" si="148"/>
        <v>-0.10534635051304582</v>
      </c>
      <c r="S238" s="16">
        <f t="shared" si="136"/>
        <v>4.8080061589872436E-4</v>
      </c>
      <c r="U238" s="23">
        <f t="shared" si="165"/>
        <v>0.86895737496074787</v>
      </c>
      <c r="V238" s="23">
        <f t="shared" si="149"/>
        <v>49.787590162017814</v>
      </c>
      <c r="W238" s="23">
        <f t="shared" si="150"/>
        <v>3.707251036416892E-3</v>
      </c>
      <c r="X238" s="23">
        <f t="shared" si="166"/>
        <v>4.8847575199651189E-2</v>
      </c>
      <c r="Y238" s="23">
        <f t="shared" si="167"/>
        <v>-3.5925632692168641E-3</v>
      </c>
      <c r="Z238" s="26">
        <f t="shared" si="151"/>
        <v>-0.10509168965579008</v>
      </c>
      <c r="AA238" s="23">
        <f t="shared" si="152"/>
        <v>-6.0213102791754229</v>
      </c>
      <c r="AB238" s="24">
        <f t="shared" si="168"/>
        <v>3.558083168525128E-3</v>
      </c>
      <c r="AD238" s="33">
        <f t="shared" si="169"/>
        <v>0.87321886389434633</v>
      </c>
      <c r="AE238" s="33">
        <f t="shared" si="153"/>
        <v>50.031755492354712</v>
      </c>
      <c r="AF238" s="33">
        <f t="shared" si="154"/>
        <v>-5.5423789718156424E-4</v>
      </c>
      <c r="AG238" s="33">
        <f t="shared" si="170"/>
        <v>5.3245106455718838E-2</v>
      </c>
      <c r="AH238" s="33">
        <f t="shared" si="171"/>
        <v>5.3709195634299434E-4</v>
      </c>
      <c r="AI238" s="35">
        <f t="shared" si="137"/>
        <v>-0.10538442257685626</v>
      </c>
      <c r="AJ238" s="33">
        <f t="shared" si="155"/>
        <v>-6.0380826400770511</v>
      </c>
      <c r="AK238" s="37">
        <f t="shared" si="172"/>
        <v>-5.3193714532873138E-4</v>
      </c>
      <c r="AM238" s="41">
        <f t="shared" si="156"/>
        <v>-5.805656345009029E-2</v>
      </c>
      <c r="AN238" s="41">
        <f t="shared" si="157"/>
        <v>-3.3263960587236472</v>
      </c>
      <c r="AO238" s="42">
        <f t="shared" si="158"/>
        <v>5.805656345009029E-2</v>
      </c>
      <c r="AP238" s="41">
        <f t="shared" si="173"/>
        <v>-0.26715239947755781</v>
      </c>
      <c r="AQ238" s="41">
        <f t="shared" si="174"/>
        <v>-5.8209386740094848E-2</v>
      </c>
      <c r="AR238" s="43">
        <f t="shared" si="138"/>
        <v>0.52235624776080813</v>
      </c>
      <c r="AS238" s="41">
        <f t="shared" si="139"/>
        <v>29.928808398984266</v>
      </c>
      <c r="AU238" s="48">
        <f t="shared" si="175"/>
        <v>5.7641226880551316E-2</v>
      </c>
      <c r="AV238" s="48">
        <f t="shared" si="159"/>
        <v>3.302599026211622</v>
      </c>
      <c r="AW238" s="49">
        <f t="shared" si="160"/>
        <v>0.46471502088025685</v>
      </c>
      <c r="AX238" s="48">
        <f t="shared" si="176"/>
        <v>-0.46159217775100697</v>
      </c>
      <c r="AY238" s="48">
        <f t="shared" si="177"/>
        <v>-0.46795523674001416</v>
      </c>
      <c r="AZ238" s="50">
        <f t="shared" si="161"/>
        <v>-3.9059100747996789E-3</v>
      </c>
      <c r="BA238" s="48">
        <f t="shared" si="162"/>
        <v>-0.22379216244364927</v>
      </c>
      <c r="BB238" s="52">
        <f t="shared" si="178"/>
        <v>-5.6311071330637008E-2</v>
      </c>
      <c r="BC238" s="44">
        <f t="shared" si="163"/>
        <v>5.7641226880551316E-2</v>
      </c>
    </row>
    <row r="239" spans="4:55" x14ac:dyDescent="0.3">
      <c r="D239">
        <f t="shared" si="164"/>
        <v>2.3699999999999934</v>
      </c>
      <c r="F239" s="5">
        <f t="shared" si="140"/>
        <v>0.86821173782475225</v>
      </c>
      <c r="G239" s="6">
        <f t="shared" si="141"/>
        <v>49.744868301077041</v>
      </c>
      <c r="I239" s="9">
        <f t="shared" si="142"/>
        <v>0.86846961936877753</v>
      </c>
      <c r="J239" s="9">
        <f t="shared" si="143"/>
        <v>49.759643825164005</v>
      </c>
      <c r="K239" s="9">
        <f t="shared" si="144"/>
        <v>-6.0359012715033646</v>
      </c>
      <c r="L239" s="9">
        <f t="shared" si="145"/>
        <v>-0.1053463505130459</v>
      </c>
      <c r="M239" s="11">
        <f t="shared" si="135"/>
        <v>9.3422946407888396E-3</v>
      </c>
      <c r="O239" s="15">
        <f t="shared" si="146"/>
        <v>0.87245353824664018</v>
      </c>
      <c r="P239" s="15">
        <f t="shared" si="147"/>
        <v>49.987905562788029</v>
      </c>
      <c r="Q239" s="15">
        <v>-6.0359012715033602</v>
      </c>
      <c r="R239" s="15">
        <f t="shared" si="148"/>
        <v>-0.10534635051304582</v>
      </c>
      <c r="S239" s="16">
        <f t="shared" si="136"/>
        <v>4.7009316912904886E-4</v>
      </c>
      <c r="U239" s="23">
        <f t="shared" si="165"/>
        <v>0.86899295579243307</v>
      </c>
      <c r="V239" s="23">
        <f t="shared" si="149"/>
        <v>49.789628793504939</v>
      </c>
      <c r="W239" s="23">
        <f t="shared" si="150"/>
        <v>3.6716702047316918E-3</v>
      </c>
      <c r="X239" s="23">
        <f t="shared" si="166"/>
        <v>4.8884291901698504E-2</v>
      </c>
      <c r="Y239" s="23">
        <f t="shared" si="167"/>
        <v>-3.5580831685200209E-3</v>
      </c>
      <c r="Z239" s="26">
        <f t="shared" si="151"/>
        <v>-0.10509413379701779</v>
      </c>
      <c r="AA239" s="23">
        <f t="shared" si="152"/>
        <v>-6.0214503181523042</v>
      </c>
      <c r="AB239" s="24">
        <f t="shared" si="168"/>
        <v>3.5239339951662618E-3</v>
      </c>
      <c r="AD239" s="33">
        <f t="shared" si="169"/>
        <v>0.87321354452289301</v>
      </c>
      <c r="AE239" s="33">
        <f t="shared" si="153"/>
        <v>50.031450714820771</v>
      </c>
      <c r="AF239" s="33">
        <f t="shared" si="154"/>
        <v>-5.4891852572824806E-4</v>
      </c>
      <c r="AG239" s="33">
        <f t="shared" si="170"/>
        <v>5.3239617270461559E-2</v>
      </c>
      <c r="AH239" s="33">
        <f t="shared" si="171"/>
        <v>5.3193714533161796E-4</v>
      </c>
      <c r="AI239" s="35">
        <f t="shared" si="137"/>
        <v>-0.10538405717519328</v>
      </c>
      <c r="AJ239" s="33">
        <f t="shared" si="155"/>
        <v>-6.0380617041039351</v>
      </c>
      <c r="AK239" s="37">
        <f t="shared" si="172"/>
        <v>-5.268318082851664E-4</v>
      </c>
      <c r="AM239" s="41">
        <f t="shared" si="156"/>
        <v>-5.7480151181284779E-2</v>
      </c>
      <c r="AN239" s="41">
        <f t="shared" si="157"/>
        <v>-3.293370068461531</v>
      </c>
      <c r="AO239" s="42">
        <f t="shared" si="158"/>
        <v>5.7480151181284779E-2</v>
      </c>
      <c r="AP239" s="41">
        <f t="shared" si="173"/>
        <v>-0.26657759796574498</v>
      </c>
      <c r="AQ239" s="41">
        <f t="shared" si="174"/>
        <v>-5.7641226880551094E-2</v>
      </c>
      <c r="AR239" s="43">
        <f t="shared" si="138"/>
        <v>0.51716028493229671</v>
      </c>
      <c r="AS239" s="41">
        <f t="shared" si="139"/>
        <v>29.631101658403704</v>
      </c>
      <c r="AU239" s="48">
        <f t="shared" si="175"/>
        <v>5.7078116167244945E-2</v>
      </c>
      <c r="AV239" s="48">
        <f t="shared" si="159"/>
        <v>3.2703351589405658</v>
      </c>
      <c r="AW239" s="49">
        <f t="shared" si="160"/>
        <v>0.46008216876505176</v>
      </c>
      <c r="AX239" s="48">
        <f t="shared" si="176"/>
        <v>-0.45699135606335645</v>
      </c>
      <c r="AY239" s="48">
        <f t="shared" si="177"/>
        <v>-0.46328521152050883</v>
      </c>
      <c r="AZ239" s="50">
        <f t="shared" si="161"/>
        <v>-3.8651993457880784E-3</v>
      </c>
      <c r="BA239" s="48">
        <f t="shared" si="162"/>
        <v>-0.22145960949038379</v>
      </c>
      <c r="BB239" s="52">
        <f t="shared" si="178"/>
        <v>-5.5808052431430041E-2</v>
      </c>
      <c r="BC239" s="44">
        <f t="shared" si="163"/>
        <v>5.7078116167244945E-2</v>
      </c>
    </row>
    <row r="240" spans="4:55" x14ac:dyDescent="0.3">
      <c r="D240">
        <f t="shared" si="164"/>
        <v>2.3799999999999932</v>
      </c>
      <c r="F240" s="5">
        <f t="shared" si="140"/>
        <v>0.8683098077389082</v>
      </c>
      <c r="G240" s="6">
        <f t="shared" si="141"/>
        <v>49.750487293255389</v>
      </c>
      <c r="I240" s="9">
        <f t="shared" si="142"/>
        <v>0.86856304231518544</v>
      </c>
      <c r="J240" s="9">
        <f t="shared" si="143"/>
        <v>49.764996565702859</v>
      </c>
      <c r="K240" s="9">
        <f t="shared" si="144"/>
        <v>-6.0359012715033646</v>
      </c>
      <c r="L240" s="9">
        <f t="shared" si="145"/>
        <v>-0.1053463505130459</v>
      </c>
      <c r="M240" s="11">
        <f t="shared" si="135"/>
        <v>9.1342414077741907E-3</v>
      </c>
      <c r="O240" s="15">
        <f t="shared" si="146"/>
        <v>0.87245823917833143</v>
      </c>
      <c r="P240" s="15">
        <f t="shared" si="147"/>
        <v>49.988174906333718</v>
      </c>
      <c r="Q240" s="15">
        <v>-6.0359012715033602</v>
      </c>
      <c r="R240" s="15">
        <f t="shared" si="148"/>
        <v>-0.10534635051304582</v>
      </c>
      <c r="S240" s="16">
        <f t="shared" si="136"/>
        <v>4.5962417757894336E-4</v>
      </c>
      <c r="U240" s="23">
        <f t="shared" si="165"/>
        <v>0.86902819513238472</v>
      </c>
      <c r="V240" s="23">
        <f t="shared" si="149"/>
        <v>49.791647858956992</v>
      </c>
      <c r="W240" s="23">
        <f t="shared" si="150"/>
        <v>3.6364308647800492E-3</v>
      </c>
      <c r="X240" s="23">
        <f t="shared" si="166"/>
        <v>4.8920656210346303E-2</v>
      </c>
      <c r="Y240" s="23">
        <f t="shared" si="167"/>
        <v>-3.5239339951642634E-3</v>
      </c>
      <c r="Z240" s="26">
        <f t="shared" si="151"/>
        <v>-0.10509655448027688</v>
      </c>
      <c r="AA240" s="23">
        <f t="shared" si="152"/>
        <v>-6.0215890130865883</v>
      </c>
      <c r="AB240" s="24">
        <f t="shared" si="168"/>
        <v>3.4901125730069094E-3</v>
      </c>
      <c r="AD240" s="33">
        <f t="shared" si="169"/>
        <v>0.87320827620481012</v>
      </c>
      <c r="AE240" s="33">
        <f t="shared" si="153"/>
        <v>50.03114886242949</v>
      </c>
      <c r="AF240" s="33">
        <f t="shared" si="154"/>
        <v>-5.4365020764535199E-4</v>
      </c>
      <c r="AG240" s="33">
        <f t="shared" si="170"/>
        <v>5.3234180768385105E-2</v>
      </c>
      <c r="AH240" s="33">
        <f t="shared" si="171"/>
        <v>5.268318082896073E-4</v>
      </c>
      <c r="AI240" s="35">
        <f t="shared" si="137"/>
        <v>-0.10538369528052095</v>
      </c>
      <c r="AJ240" s="33">
        <f t="shared" si="155"/>
        <v>-6.0380409690665831</v>
      </c>
      <c r="AK240" s="37">
        <f t="shared" si="172"/>
        <v>-5.2177547039033989E-4</v>
      </c>
      <c r="AM240" s="41">
        <f t="shared" si="156"/>
        <v>-5.6909370019612326E-2</v>
      </c>
      <c r="AN240" s="41">
        <f t="shared" si="157"/>
        <v>-3.2606667168721253</v>
      </c>
      <c r="AO240" s="42">
        <f t="shared" si="158"/>
        <v>5.6909370019612326E-2</v>
      </c>
      <c r="AP240" s="41">
        <f t="shared" si="173"/>
        <v>-0.26600850426554884</v>
      </c>
      <c r="AQ240" s="41">
        <f t="shared" si="174"/>
        <v>-5.7078116167245257E-2</v>
      </c>
      <c r="AR240" s="43">
        <f t="shared" si="138"/>
        <v>0.51201558402887803</v>
      </c>
      <c r="AS240" s="41">
        <f t="shared" si="139"/>
        <v>29.336332009780669</v>
      </c>
      <c r="AU240" s="48">
        <f t="shared" si="175"/>
        <v>5.6520035642930642E-2</v>
      </c>
      <c r="AV240" s="48">
        <f t="shared" si="159"/>
        <v>3.2383595002689081</v>
      </c>
      <c r="AW240" s="49">
        <f t="shared" si="160"/>
        <v>0.45549554838594741</v>
      </c>
      <c r="AX240" s="48">
        <f t="shared" si="176"/>
        <v>-0.45243640057949697</v>
      </c>
      <c r="AY240" s="48">
        <f t="shared" si="177"/>
        <v>-0.45866203791043447</v>
      </c>
      <c r="AZ240" s="50">
        <f t="shared" si="161"/>
        <v>-3.8249854233487202E-3</v>
      </c>
      <c r="BA240" s="48">
        <f t="shared" si="162"/>
        <v>-0.21915552145694212</v>
      </c>
      <c r="BB240" s="52">
        <f t="shared" si="178"/>
        <v>-5.530707070394876E-2</v>
      </c>
      <c r="BC240" s="44">
        <f t="shared" si="163"/>
        <v>5.6520035642930642E-2</v>
      </c>
    </row>
    <row r="241" spans="4:55" x14ac:dyDescent="0.3">
      <c r="D241">
        <f t="shared" si="164"/>
        <v>2.389999999999993</v>
      </c>
      <c r="F241" s="5">
        <f t="shared" si="140"/>
        <v>0.86840571777217546</v>
      </c>
      <c r="G241" s="6">
        <f t="shared" si="141"/>
        <v>49.755982533374564</v>
      </c>
      <c r="I241" s="9">
        <f t="shared" si="142"/>
        <v>0.86865438472926315</v>
      </c>
      <c r="J241" s="9">
        <f t="shared" si="143"/>
        <v>49.770230100520045</v>
      </c>
      <c r="K241" s="9">
        <f t="shared" si="144"/>
        <v>-6.0359012715033646</v>
      </c>
      <c r="L241" s="9">
        <f t="shared" si="145"/>
        <v>-0.1053463505130459</v>
      </c>
      <c r="M241" s="11">
        <f t="shared" si="135"/>
        <v>8.9308215276384662E-3</v>
      </c>
      <c r="O241" s="15">
        <f t="shared" si="146"/>
        <v>0.87246283542010716</v>
      </c>
      <c r="P241" s="15">
        <f t="shared" si="147"/>
        <v>49.988438251589088</v>
      </c>
      <c r="Q241" s="15">
        <v>-6.0359012715033602</v>
      </c>
      <c r="R241" s="15">
        <f t="shared" si="148"/>
        <v>-0.10534635051304582</v>
      </c>
      <c r="S241" s="16">
        <f t="shared" si="136"/>
        <v>4.4938833084184893E-4</v>
      </c>
      <c r="U241" s="23">
        <f t="shared" si="165"/>
        <v>0.86906309625811473</v>
      </c>
      <c r="V241" s="23">
        <f t="shared" si="149"/>
        <v>49.79364754616158</v>
      </c>
      <c r="W241" s="23">
        <f t="shared" si="150"/>
        <v>3.6015297390500356E-3</v>
      </c>
      <c r="X241" s="23">
        <f t="shared" si="166"/>
        <v>4.8956671507736804E-2</v>
      </c>
      <c r="Y241" s="23">
        <f t="shared" si="167"/>
        <v>-3.4901125730013582E-3</v>
      </c>
      <c r="Z241" s="26">
        <f t="shared" si="151"/>
        <v>-0.10509895193070867</v>
      </c>
      <c r="AA241" s="23">
        <f t="shared" si="152"/>
        <v>-6.0217263768779219</v>
      </c>
      <c r="AB241" s="24">
        <f t="shared" si="168"/>
        <v>3.4566157564182021E-3</v>
      </c>
      <c r="AD241" s="33">
        <f t="shared" si="169"/>
        <v>0.87320305845010626</v>
      </c>
      <c r="AE241" s="33">
        <f t="shared" si="153"/>
        <v>50.030849907106422</v>
      </c>
      <c r="AF241" s="33">
        <f t="shared" si="154"/>
        <v>-5.3843245294149522E-4</v>
      </c>
      <c r="AG241" s="33">
        <f t="shared" si="170"/>
        <v>5.322879644385569E-2</v>
      </c>
      <c r="AH241" s="33">
        <f t="shared" si="171"/>
        <v>5.2177547038567695E-4</v>
      </c>
      <c r="AI241" s="35">
        <f t="shared" si="137"/>
        <v>-0.10538333685918032</v>
      </c>
      <c r="AJ241" s="33">
        <f t="shared" si="155"/>
        <v>-6.0380204330364773</v>
      </c>
      <c r="AK241" s="37">
        <f t="shared" si="172"/>
        <v>-5.1676766137154218E-4</v>
      </c>
      <c r="AM241" s="41">
        <f t="shared" si="156"/>
        <v>-5.6344169663183022E-2</v>
      </c>
      <c r="AN241" s="41">
        <f t="shared" si="157"/>
        <v>-3.2282831218694361</v>
      </c>
      <c r="AO241" s="42">
        <f t="shared" si="158"/>
        <v>5.6344169663183022E-2</v>
      </c>
      <c r="AP241" s="41">
        <f t="shared" si="173"/>
        <v>-0.26544506256891703</v>
      </c>
      <c r="AQ241" s="41">
        <f t="shared" si="174"/>
        <v>-5.6520035642930455E-2</v>
      </c>
      <c r="AR241" s="43">
        <f t="shared" si="138"/>
        <v>0.50692166098889979</v>
      </c>
      <c r="AS241" s="41">
        <f t="shared" si="139"/>
        <v>29.044471718425466</v>
      </c>
      <c r="AU241" s="48">
        <f t="shared" si="175"/>
        <v>5.5966964935891157E-2</v>
      </c>
      <c r="AV241" s="48">
        <f t="shared" si="159"/>
        <v>3.2066708829832291</v>
      </c>
      <c r="AW241" s="49">
        <f t="shared" si="160"/>
        <v>0.45095469605300864</v>
      </c>
      <c r="AX241" s="48">
        <f t="shared" si="176"/>
        <v>-0.44792685361896689</v>
      </c>
      <c r="AY241" s="48">
        <f t="shared" si="177"/>
        <v>-0.45408523329387718</v>
      </c>
      <c r="AZ241" s="50">
        <f t="shared" si="161"/>
        <v>-3.7852587016141137E-3</v>
      </c>
      <c r="BA241" s="48">
        <f t="shared" si="162"/>
        <v>-0.21687934796765854</v>
      </c>
      <c r="BB241" s="52">
        <f t="shared" si="178"/>
        <v>-5.4808257989144224E-2</v>
      </c>
      <c r="BC241" s="44">
        <f t="shared" si="163"/>
        <v>5.5966964935891157E-2</v>
      </c>
    </row>
    <row r="242" spans="4:55" x14ac:dyDescent="0.3">
      <c r="D242">
        <f t="shared" si="164"/>
        <v>2.3999999999999928</v>
      </c>
      <c r="F242" s="5">
        <f t="shared" si="140"/>
        <v>0.86849951549353088</v>
      </c>
      <c r="G242" s="6">
        <f t="shared" si="141"/>
        <v>49.761356746936173</v>
      </c>
      <c r="I242" s="9">
        <f t="shared" si="142"/>
        <v>0.86874369294453957</v>
      </c>
      <c r="J242" s="9">
        <f t="shared" si="143"/>
        <v>49.77534708433123</v>
      </c>
      <c r="K242" s="9">
        <f t="shared" si="144"/>
        <v>-6.0359012715033646</v>
      </c>
      <c r="L242" s="9">
        <f t="shared" si="145"/>
        <v>-0.1053463505130459</v>
      </c>
      <c r="M242" s="11">
        <f t="shared" si="135"/>
        <v>8.7319318154484016E-3</v>
      </c>
      <c r="O242" s="15">
        <f t="shared" si="146"/>
        <v>0.87246732930341553</v>
      </c>
      <c r="P242" s="15">
        <f t="shared" si="147"/>
        <v>49.988695732136286</v>
      </c>
      <c r="Q242" s="15">
        <v>-6.0359012715033602</v>
      </c>
      <c r="R242" s="15">
        <f t="shared" si="148"/>
        <v>-0.10534635051304582</v>
      </c>
      <c r="S242" s="16">
        <f t="shared" si="136"/>
        <v>4.393804367746057E-4</v>
      </c>
      <c r="U242" s="23">
        <f t="shared" si="165"/>
        <v>0.86909766241567887</v>
      </c>
      <c r="V242" s="23">
        <f t="shared" si="149"/>
        <v>49.795628041103988</v>
      </c>
      <c r="W242" s="23">
        <f t="shared" si="150"/>
        <v>3.5669635814858935E-3</v>
      </c>
      <c r="X242" s="23">
        <f t="shared" si="166"/>
        <v>4.8992341143551665E-2</v>
      </c>
      <c r="Y242" s="23">
        <f t="shared" si="167"/>
        <v>-3.4566157564142053E-3</v>
      </c>
      <c r="Z242" s="26">
        <f t="shared" si="151"/>
        <v>-0.10510132637129305</v>
      </c>
      <c r="AA242" s="23">
        <f t="shared" si="152"/>
        <v>-6.0218624223021111</v>
      </c>
      <c r="AB242" s="24">
        <f t="shared" si="168"/>
        <v>3.423440429950686E-3</v>
      </c>
      <c r="AD242" s="33">
        <f t="shared" si="169"/>
        <v>0.87319789077349252</v>
      </c>
      <c r="AE242" s="33">
        <f t="shared" si="153"/>
        <v>50.030553821046567</v>
      </c>
      <c r="AF242" s="33">
        <f t="shared" si="154"/>
        <v>-5.3326477632775759E-4</v>
      </c>
      <c r="AG242" s="33">
        <f t="shared" si="170"/>
        <v>5.3223463796092413E-2</v>
      </c>
      <c r="AH242" s="33">
        <f t="shared" si="171"/>
        <v>5.1676766137376262E-4</v>
      </c>
      <c r="AI242" s="35">
        <f t="shared" si="137"/>
        <v>-0.10538298187783618</v>
      </c>
      <c r="AJ242" s="33">
        <f t="shared" si="155"/>
        <v>-6.0380000941036522</v>
      </c>
      <c r="AK242" s="37">
        <f t="shared" si="172"/>
        <v>-5.1180791545490933E-4</v>
      </c>
      <c r="AM242" s="41">
        <f t="shared" si="156"/>
        <v>-5.5784500013824109E-2</v>
      </c>
      <c r="AN242" s="41">
        <f t="shared" si="157"/>
        <v>-3.196216413039604</v>
      </c>
      <c r="AO242" s="42">
        <f t="shared" si="158"/>
        <v>5.5784500013824109E-2</v>
      </c>
      <c r="AP242" s="41">
        <f t="shared" si="173"/>
        <v>-0.26488721756877881</v>
      </c>
      <c r="AQ242" s="41">
        <f t="shared" si="174"/>
        <v>-5.5966964935891261E-2</v>
      </c>
      <c r="AR242" s="43">
        <f t="shared" si="138"/>
        <v>0.50187803520234986</v>
      </c>
      <c r="AS242" s="41">
        <f t="shared" si="139"/>
        <v>28.755493247412804</v>
      </c>
      <c r="AU242" s="48">
        <f t="shared" si="175"/>
        <v>5.5418882355999718E-2</v>
      </c>
      <c r="AV242" s="48">
        <f t="shared" si="159"/>
        <v>3.1752680643308082</v>
      </c>
      <c r="AW242" s="49">
        <f t="shared" si="160"/>
        <v>0.44645915284635013</v>
      </c>
      <c r="AX242" s="48">
        <f t="shared" si="176"/>
        <v>-0.44346226209050338</v>
      </c>
      <c r="AY242" s="48">
        <f t="shared" si="177"/>
        <v>-0.44955432066585144</v>
      </c>
      <c r="AZ242" s="50">
        <f t="shared" si="161"/>
        <v>-3.7460099083642395E-3</v>
      </c>
      <c r="BA242" s="48">
        <f t="shared" si="162"/>
        <v>-0.21463055776345918</v>
      </c>
      <c r="BB242" s="52">
        <f t="shared" si="178"/>
        <v>-5.4311737036743496E-2</v>
      </c>
      <c r="BC242" s="44">
        <f t="shared" si="163"/>
        <v>5.5418882355999718E-2</v>
      </c>
    </row>
    <row r="243" spans="4:55" x14ac:dyDescent="0.3">
      <c r="D243">
        <f t="shared" si="164"/>
        <v>2.4099999999999926</v>
      </c>
      <c r="F243" s="5">
        <f t="shared" si="140"/>
        <v>0.86859124742429705</v>
      </c>
      <c r="G243" s="6">
        <f t="shared" si="141"/>
        <v>49.766612599415659</v>
      </c>
      <c r="I243" s="9">
        <f t="shared" si="142"/>
        <v>0.8688310122626941</v>
      </c>
      <c r="J243" s="9">
        <f t="shared" si="143"/>
        <v>49.780350112731448</v>
      </c>
      <c r="K243" s="9">
        <f t="shared" si="144"/>
        <v>-6.0359012715033646</v>
      </c>
      <c r="L243" s="9">
        <f t="shared" si="145"/>
        <v>-0.1053463505130459</v>
      </c>
      <c r="M243" s="11">
        <f t="shared" si="135"/>
        <v>8.5374713842032435E-3</v>
      </c>
      <c r="O243" s="15">
        <f t="shared" si="146"/>
        <v>0.87247172310778331</v>
      </c>
      <c r="P243" s="15">
        <f t="shared" si="147"/>
        <v>49.988947478582567</v>
      </c>
      <c r="Q243" s="15">
        <v>-6.0359012715033602</v>
      </c>
      <c r="R243" s="15">
        <f t="shared" si="148"/>
        <v>-0.10534635051304582</v>
      </c>
      <c r="S243" s="16">
        <f t="shared" si="136"/>
        <v>4.295954188631157E-4</v>
      </c>
      <c r="U243" s="23">
        <f t="shared" si="165"/>
        <v>0.86913189681997838</v>
      </c>
      <c r="V243" s="23">
        <f t="shared" si="149"/>
        <v>49.797589527984499</v>
      </c>
      <c r="W243" s="23">
        <f t="shared" si="150"/>
        <v>3.5327291771863889E-3</v>
      </c>
      <c r="X243" s="23">
        <f t="shared" si="166"/>
        <v>4.9027668435323531E-2</v>
      </c>
      <c r="Y243" s="23">
        <f t="shared" si="167"/>
        <v>-3.4234404299504639E-3</v>
      </c>
      <c r="Z243" s="26">
        <f t="shared" si="151"/>
        <v>-0.10510367802287009</v>
      </c>
      <c r="AA243" s="23">
        <f t="shared" si="152"/>
        <v>-6.0219971620123607</v>
      </c>
      <c r="AB243" s="24">
        <f t="shared" si="168"/>
        <v>3.3905835080614288E-3</v>
      </c>
      <c r="AD243" s="33">
        <f t="shared" si="169"/>
        <v>0.87319277269433793</v>
      </c>
      <c r="AE243" s="33">
        <f t="shared" si="153"/>
        <v>50.030260576711797</v>
      </c>
      <c r="AF243" s="33">
        <f t="shared" si="154"/>
        <v>-5.2814669717315965E-4</v>
      </c>
      <c r="AG243" s="33">
        <f t="shared" si="170"/>
        <v>5.3218182329120678E-2</v>
      </c>
      <c r="AH243" s="33">
        <f t="shared" si="171"/>
        <v>5.1180791545979432E-4</v>
      </c>
      <c r="AI243" s="35">
        <f t="shared" si="137"/>
        <v>-0.10538263030347234</v>
      </c>
      <c r="AJ243" s="33">
        <f t="shared" si="155"/>
        <v>-6.0379799503764184</v>
      </c>
      <c r="AK243" s="37">
        <f t="shared" si="172"/>
        <v>-5.0689577135631936E-4</v>
      </c>
      <c r="AM243" s="41">
        <f t="shared" si="156"/>
        <v>-5.5230311190264114E-2</v>
      </c>
      <c r="AN243" s="41">
        <f t="shared" si="157"/>
        <v>-3.1644637323962961</v>
      </c>
      <c r="AO243" s="42">
        <f t="shared" si="158"/>
        <v>5.5230311190264114E-2</v>
      </c>
      <c r="AP243" s="41">
        <f t="shared" si="173"/>
        <v>-0.26433491445687618</v>
      </c>
      <c r="AQ243" s="41">
        <f t="shared" si="174"/>
        <v>-5.541888235599951E-2</v>
      </c>
      <c r="AR243" s="43">
        <f t="shared" si="138"/>
        <v>0.49688422954664163</v>
      </c>
      <c r="AS243" s="41">
        <f t="shared" si="139"/>
        <v>28.469369259632163</v>
      </c>
      <c r="AU243" s="48">
        <f t="shared" si="175"/>
        <v>5.4875764985632285E-2</v>
      </c>
      <c r="AV243" s="48">
        <f t="shared" si="159"/>
        <v>3.1441497312285107</v>
      </c>
      <c r="AW243" s="49">
        <f t="shared" si="160"/>
        <v>0.44200846456100934</v>
      </c>
      <c r="AX243" s="48">
        <f t="shared" si="176"/>
        <v>-0.43904217744489327</v>
      </c>
      <c r="AY243" s="48">
        <f t="shared" si="177"/>
        <v>-0.4450688285340787</v>
      </c>
      <c r="AZ243" s="50">
        <f t="shared" si="161"/>
        <v>-3.7072300895617527E-3</v>
      </c>
      <c r="BA243" s="48">
        <f t="shared" si="162"/>
        <v>-0.21240863781579461</v>
      </c>
      <c r="BB243" s="52">
        <f t="shared" si="178"/>
        <v>-5.3817621993005646E-2</v>
      </c>
      <c r="BC243" s="44">
        <f t="shared" si="163"/>
        <v>5.4875764985632285E-2</v>
      </c>
    </row>
    <row r="244" spans="4:55" x14ac:dyDescent="0.3">
      <c r="D244">
        <f t="shared" si="164"/>
        <v>2.4199999999999924</v>
      </c>
      <c r="F244" s="5">
        <f t="shared" si="140"/>
        <v>0.86868095906121623</v>
      </c>
      <c r="G244" s="6">
        <f t="shared" si="141"/>
        <v>49.77175269758434</v>
      </c>
      <c r="I244" s="9">
        <f t="shared" si="142"/>
        <v>0.86891638697653617</v>
      </c>
      <c r="J244" s="9">
        <f t="shared" si="143"/>
        <v>49.785241723511731</v>
      </c>
      <c r="K244" s="9">
        <f t="shared" si="144"/>
        <v>-6.0359012715033646</v>
      </c>
      <c r="L244" s="9">
        <f t="shared" si="145"/>
        <v>-0.1053463505130459</v>
      </c>
      <c r="M244" s="11">
        <f t="shared" si="135"/>
        <v>8.347341593659463E-3</v>
      </c>
      <c r="O244" s="15">
        <f t="shared" si="146"/>
        <v>0.87247601906197192</v>
      </c>
      <c r="P244" s="15">
        <f t="shared" si="147"/>
        <v>49.989193618626551</v>
      </c>
      <c r="Q244" s="15">
        <v>-6.0359012715033602</v>
      </c>
      <c r="R244" s="15">
        <f t="shared" si="148"/>
        <v>-0.10534635051304582</v>
      </c>
      <c r="S244" s="16">
        <f t="shared" si="136"/>
        <v>4.2002831364729154E-4</v>
      </c>
      <c r="U244" s="23">
        <f t="shared" si="165"/>
        <v>0.86916580265505894</v>
      </c>
      <c r="V244" s="23">
        <f t="shared" si="149"/>
        <v>49.799532189235478</v>
      </c>
      <c r="W244" s="23">
        <f t="shared" si="150"/>
        <v>3.4988233421058279E-3</v>
      </c>
      <c r="X244" s="23">
        <f t="shared" si="166"/>
        <v>4.9062656668744591E-2</v>
      </c>
      <c r="Y244" s="23">
        <f t="shared" si="167"/>
        <v>-3.3905835080560998E-3</v>
      </c>
      <c r="Z244" s="26">
        <f t="shared" si="151"/>
        <v>-0.10510600710416056</v>
      </c>
      <c r="AA244" s="23">
        <f t="shared" si="152"/>
        <v>-6.0221306085404471</v>
      </c>
      <c r="AB244" s="24">
        <f t="shared" si="168"/>
        <v>3.3580419348246959E-3</v>
      </c>
      <c r="AD244" s="33">
        <f t="shared" si="169"/>
        <v>0.87318770373662435</v>
      </c>
      <c r="AE244" s="33">
        <f t="shared" si="153"/>
        <v>50.029970146828276</v>
      </c>
      <c r="AF244" s="33">
        <f t="shared" si="154"/>
        <v>-5.2307773945958758E-4</v>
      </c>
      <c r="AG244" s="33">
        <f t="shared" si="170"/>
        <v>5.3212951551726083E-2</v>
      </c>
      <c r="AH244" s="33">
        <f t="shared" si="171"/>
        <v>5.0689577135720754E-4</v>
      </c>
      <c r="AI244" s="35">
        <f t="shared" si="137"/>
        <v>-0.10538228210338978</v>
      </c>
      <c r="AJ244" s="33">
        <f t="shared" si="155"/>
        <v>-6.0379599999812621</v>
      </c>
      <c r="AK244" s="37">
        <f t="shared" si="172"/>
        <v>-5.0203077221233627E-4</v>
      </c>
      <c r="AM244" s="41">
        <f t="shared" si="156"/>
        <v>-5.4681553540407789E-2</v>
      </c>
      <c r="AN244" s="41">
        <f t="shared" si="157"/>
        <v>-3.1330222350840109</v>
      </c>
      <c r="AO244" s="42">
        <f t="shared" si="158"/>
        <v>5.4681553540407789E-2</v>
      </c>
      <c r="AP244" s="41">
        <f t="shared" si="173"/>
        <v>-0.26378809892147209</v>
      </c>
      <c r="AQ244" s="41">
        <f t="shared" si="174"/>
        <v>-5.4875764985632541E-2</v>
      </c>
      <c r="AR244" s="43">
        <f t="shared" si="138"/>
        <v>0.49193977041844539</v>
      </c>
      <c r="AS244" s="41">
        <f t="shared" si="139"/>
        <v>28.186072619611586</v>
      </c>
      <c r="AU244" s="48">
        <f t="shared" si="175"/>
        <v>5.433758876570223E-2</v>
      </c>
      <c r="AV244" s="48">
        <f t="shared" si="159"/>
        <v>3.1133145051922142</v>
      </c>
      <c r="AW244" s="49">
        <f t="shared" si="160"/>
        <v>0.43760218165274317</v>
      </c>
      <c r="AX244" s="48">
        <f t="shared" si="176"/>
        <v>-0.43466615562836586</v>
      </c>
      <c r="AY244" s="48">
        <f t="shared" si="177"/>
        <v>-0.44062829082661681</v>
      </c>
      <c r="AZ244" s="50">
        <f t="shared" si="161"/>
        <v>-3.6689105946215439E-3</v>
      </c>
      <c r="BA244" s="48">
        <f t="shared" si="162"/>
        <v>-0.21021309248264775</v>
      </c>
      <c r="BB244" s="52">
        <f t="shared" si="178"/>
        <v>-5.3326018864068209E-2</v>
      </c>
      <c r="BC244" s="44">
        <f t="shared" si="163"/>
        <v>5.433758876570223E-2</v>
      </c>
    </row>
    <row r="245" spans="4:55" x14ac:dyDescent="0.3">
      <c r="D245">
        <f t="shared" si="164"/>
        <v>2.4299999999999922</v>
      </c>
      <c r="F245" s="5">
        <f t="shared" si="140"/>
        <v>0.86876869489901576</v>
      </c>
      <c r="G245" s="6">
        <f t="shared" si="141"/>
        <v>49.776779590802292</v>
      </c>
      <c r="I245" s="9">
        <f t="shared" si="142"/>
        <v>0.86899986039247279</v>
      </c>
      <c r="J245" s="9">
        <f t="shared" si="143"/>
        <v>49.790024397946439</v>
      </c>
      <c r="K245" s="9">
        <f t="shared" si="144"/>
        <v>-6.0359012715033646</v>
      </c>
      <c r="L245" s="9">
        <f t="shared" si="145"/>
        <v>-0.1053463505130459</v>
      </c>
      <c r="M245" s="11">
        <f t="shared" si="135"/>
        <v>8.1614460002945588E-3</v>
      </c>
      <c r="O245" s="15">
        <f t="shared" si="146"/>
        <v>0.87248021934510844</v>
      </c>
      <c r="P245" s="15">
        <f t="shared" si="147"/>
        <v>49.989434277123038</v>
      </c>
      <c r="Q245" s="15">
        <v>-6.0359012715033602</v>
      </c>
      <c r="R245" s="15">
        <f t="shared" si="148"/>
        <v>-0.10534635051304582</v>
      </c>
      <c r="S245" s="16">
        <f t="shared" si="136"/>
        <v>4.1067426820440289E-4</v>
      </c>
      <c r="U245" s="23">
        <f t="shared" si="165"/>
        <v>0.86919938307440714</v>
      </c>
      <c r="V245" s="23">
        <f t="shared" si="149"/>
        <v>49.801456205538408</v>
      </c>
      <c r="W245" s="23">
        <f t="shared" si="150"/>
        <v>3.4652429227576276E-3</v>
      </c>
      <c r="X245" s="23">
        <f t="shared" si="166"/>
        <v>4.9097309097972164E-2</v>
      </c>
      <c r="Y245" s="23">
        <f t="shared" si="167"/>
        <v>-3.358041934820033E-3</v>
      </c>
      <c r="Z245" s="26">
        <f t="shared" si="151"/>
        <v>-0.10510831383178548</v>
      </c>
      <c r="AA245" s="23">
        <f t="shared" si="152"/>
        <v>-6.0222627742978423</v>
      </c>
      <c r="AB245" s="24">
        <f t="shared" si="168"/>
        <v>3.3258126836359647E-3</v>
      </c>
      <c r="AD245" s="33">
        <f t="shared" si="169"/>
        <v>0.87318268342890226</v>
      </c>
      <c r="AE245" s="33">
        <f t="shared" si="153"/>
        <v>50.029682504383949</v>
      </c>
      <c r="AF245" s="33">
        <f t="shared" si="154"/>
        <v>-5.180574317374953E-4</v>
      </c>
      <c r="AG245" s="33">
        <f t="shared" si="170"/>
        <v>5.3207770977408711E-2</v>
      </c>
      <c r="AH245" s="33">
        <f t="shared" si="171"/>
        <v>5.0203077220922765E-4</v>
      </c>
      <c r="AI245" s="35">
        <f t="shared" si="137"/>
        <v>-0.10538193724520348</v>
      </c>
      <c r="AJ245" s="33">
        <f t="shared" si="155"/>
        <v>-6.0379402410626568</v>
      </c>
      <c r="AK245" s="37">
        <f t="shared" si="172"/>
        <v>-4.9721246554135234E-4</v>
      </c>
      <c r="AM245" s="41">
        <f t="shared" si="156"/>
        <v>-5.4138177652750766E-2</v>
      </c>
      <c r="AN245" s="41">
        <f t="shared" si="157"/>
        <v>-3.1018890900320883</v>
      </c>
      <c r="AO245" s="42">
        <f t="shared" si="158"/>
        <v>5.4138177652750766E-2</v>
      </c>
      <c r="AP245" s="41">
        <f t="shared" si="173"/>
        <v>-0.26324671714494458</v>
      </c>
      <c r="AQ245" s="41">
        <f t="shared" si="174"/>
        <v>-5.4337588765702299E-2</v>
      </c>
      <c r="AR245" s="43">
        <f t="shared" si="138"/>
        <v>0.48704418776180536</v>
      </c>
      <c r="AS245" s="41">
        <f t="shared" si="139"/>
        <v>27.905576395128669</v>
      </c>
      <c r="AU245" s="48">
        <f t="shared" si="175"/>
        <v>5.380432857706155E-2</v>
      </c>
      <c r="AV245" s="48">
        <f t="shared" si="159"/>
        <v>3.0827609470007529</v>
      </c>
      <c r="AW245" s="49">
        <f t="shared" si="160"/>
        <v>0.43323985918474384</v>
      </c>
      <c r="AX245" s="48">
        <f t="shared" si="176"/>
        <v>-0.43033375703651844</v>
      </c>
      <c r="AY245" s="48">
        <f t="shared" si="177"/>
        <v>-0.43623224679993355</v>
      </c>
      <c r="AZ245" s="50">
        <f t="shared" si="161"/>
        <v>-3.6310430624511281E-3</v>
      </c>
      <c r="BA245" s="48">
        <f t="shared" si="162"/>
        <v>-0.20804344270870703</v>
      </c>
      <c r="BB245" s="52">
        <f t="shared" si="178"/>
        <v>-5.2837025954754507E-2</v>
      </c>
      <c r="BC245" s="44">
        <f t="shared" si="163"/>
        <v>5.380432857706155E-2</v>
      </c>
    </row>
    <row r="246" spans="4:55" x14ac:dyDescent="0.3">
      <c r="D246">
        <f t="shared" si="164"/>
        <v>2.439999999999992</v>
      </c>
      <c r="F246" s="5">
        <f t="shared" si="140"/>
        <v>0.86885449845247575</v>
      </c>
      <c r="G246" s="6">
        <f t="shared" si="141"/>
        <v>49.781695772282774</v>
      </c>
      <c r="I246" s="9">
        <f t="shared" si="142"/>
        <v>0.86908147485247578</v>
      </c>
      <c r="J246" s="9">
        <f t="shared" si="143"/>
        <v>49.794700562051851</v>
      </c>
      <c r="K246" s="9">
        <f t="shared" si="144"/>
        <v>-6.0359012715033646</v>
      </c>
      <c r="L246" s="9">
        <f t="shared" si="145"/>
        <v>-0.1053463505130459</v>
      </c>
      <c r="M246" s="11">
        <f t="shared" si="135"/>
        <v>7.9796903083877435E-3</v>
      </c>
      <c r="O246" s="15">
        <f t="shared" si="146"/>
        <v>0.87248432608779047</v>
      </c>
      <c r="P246" s="15">
        <f t="shared" si="147"/>
        <v>49.989669576146262</v>
      </c>
      <c r="Q246" s="15">
        <v>-6.0359012715033602</v>
      </c>
      <c r="R246" s="15">
        <f t="shared" si="148"/>
        <v>-0.10534635051304582</v>
      </c>
      <c r="S246" s="16">
        <f t="shared" si="136"/>
        <v>4.0152853768504748E-4</v>
      </c>
      <c r="U246" s="23">
        <f t="shared" si="165"/>
        <v>0.86923264120124355</v>
      </c>
      <c r="V246" s="23">
        <f t="shared" si="149"/>
        <v>49.803361755840648</v>
      </c>
      <c r="W246" s="23">
        <f t="shared" si="150"/>
        <v>3.4319847959212169E-3</v>
      </c>
      <c r="X246" s="23">
        <f t="shared" si="166"/>
        <v>4.9131628945931378E-2</v>
      </c>
      <c r="Y246" s="23">
        <f t="shared" si="167"/>
        <v>-3.3258126836410717E-3</v>
      </c>
      <c r="Z246" s="26">
        <f t="shared" si="151"/>
        <v>-0.10511059842028699</v>
      </c>
      <c r="AA246" s="23">
        <f t="shared" si="152"/>
        <v>-6.0223936715769026</v>
      </c>
      <c r="AB246" s="24">
        <f t="shared" si="168"/>
        <v>3.2938927569383658E-3</v>
      </c>
      <c r="AD246" s="33">
        <f t="shared" si="169"/>
        <v>0.87317771130424682</v>
      </c>
      <c r="AE246" s="33">
        <f t="shared" si="153"/>
        <v>50.029397622625979</v>
      </c>
      <c r="AF246" s="33">
        <f t="shared" si="154"/>
        <v>-5.1308530708205069E-4</v>
      </c>
      <c r="AG246" s="33">
        <f t="shared" si="170"/>
        <v>5.320264012433789E-2</v>
      </c>
      <c r="AH246" s="33">
        <f t="shared" si="171"/>
        <v>4.9721246554446097E-4</v>
      </c>
      <c r="AI246" s="35">
        <f t="shared" si="137"/>
        <v>-0.1053815956968394</v>
      </c>
      <c r="AJ246" s="33">
        <f t="shared" si="155"/>
        <v>-6.0379206717828948</v>
      </c>
      <c r="AK246" s="37">
        <f t="shared" si="172"/>
        <v>-4.9244040320117755E-4</v>
      </c>
      <c r="AM246" s="41">
        <f t="shared" si="156"/>
        <v>-5.3600134366980148E-2</v>
      </c>
      <c r="AN246" s="41">
        <f t="shared" si="157"/>
        <v>-3.0710614805620811</v>
      </c>
      <c r="AO246" s="42">
        <f t="shared" si="158"/>
        <v>5.3600134366980148E-2</v>
      </c>
      <c r="AP246" s="41">
        <f t="shared" si="173"/>
        <v>-0.26271071580127475</v>
      </c>
      <c r="AQ246" s="41">
        <f t="shared" si="174"/>
        <v>-5.3804328577061744E-2</v>
      </c>
      <c r="AR246" s="43">
        <f t="shared" si="138"/>
        <v>0.48219701509273971</v>
      </c>
      <c r="AS246" s="41">
        <f t="shared" si="139"/>
        <v>27.627853858620043</v>
      </c>
      <c r="AU246" s="48">
        <f t="shared" si="175"/>
        <v>5.3275958317514006E-2</v>
      </c>
      <c r="AV246" s="48">
        <f t="shared" si="159"/>
        <v>3.052487561108447</v>
      </c>
      <c r="AW246" s="49">
        <f t="shared" si="160"/>
        <v>0.42892105677522568</v>
      </c>
      <c r="AX246" s="48">
        <f t="shared" si="176"/>
        <v>-0.42604454646876616</v>
      </c>
      <c r="AY246" s="48">
        <f t="shared" si="177"/>
        <v>-0.43188024095181521</v>
      </c>
      <c r="AZ246" s="50">
        <f t="shared" si="161"/>
        <v>-3.5936194081599704E-3</v>
      </c>
      <c r="BA246" s="48">
        <f t="shared" si="162"/>
        <v>-0.20589922526386706</v>
      </c>
      <c r="BB246" s="52">
        <f t="shared" si="178"/>
        <v>-5.2350734285268333E-2</v>
      </c>
      <c r="BC246" s="44">
        <f t="shared" si="163"/>
        <v>5.3275958317514006E-2</v>
      </c>
    </row>
    <row r="247" spans="4:55" x14ac:dyDescent="0.3">
      <c r="D247">
        <f t="shared" si="164"/>
        <v>2.4499999999999917</v>
      </c>
      <c r="F247" s="5">
        <f t="shared" si="140"/>
        <v>0.86893841227801161</v>
      </c>
      <c r="G247" s="6">
        <f t="shared" si="141"/>
        <v>49.786503680328778</v>
      </c>
      <c r="I247" s="9">
        <f t="shared" si="142"/>
        <v>0.86916127175555968</v>
      </c>
      <c r="J247" s="9">
        <f t="shared" si="143"/>
        <v>49.799272587816773</v>
      </c>
      <c r="K247" s="9">
        <f t="shared" si="144"/>
        <v>-6.0359012715033646</v>
      </c>
      <c r="L247" s="9">
        <f t="shared" si="145"/>
        <v>-0.1053463505130459</v>
      </c>
      <c r="M247" s="11">
        <f t="shared" si="135"/>
        <v>7.8019823221862072E-3</v>
      </c>
      <c r="O247" s="15">
        <f t="shared" si="146"/>
        <v>0.87248834137316733</v>
      </c>
      <c r="P247" s="15">
        <f t="shared" si="147"/>
        <v>49.989899635051898</v>
      </c>
      <c r="Q247" s="15">
        <v>-6.0359012715033602</v>
      </c>
      <c r="R247" s="15">
        <f t="shared" si="148"/>
        <v>-0.10534635051304582</v>
      </c>
      <c r="S247" s="16">
        <f t="shared" si="136"/>
        <v>3.9258648290885212E-4</v>
      </c>
      <c r="U247" s="23">
        <f t="shared" si="165"/>
        <v>0.86926558012881294</v>
      </c>
      <c r="V247" s="23">
        <f t="shared" si="149"/>
        <v>49.805249017372063</v>
      </c>
      <c r="W247" s="23">
        <f t="shared" si="150"/>
        <v>3.3990458683518243E-3</v>
      </c>
      <c r="X247" s="23">
        <f t="shared" si="166"/>
        <v>4.9165619404614898E-2</v>
      </c>
      <c r="Y247" s="23">
        <f t="shared" si="167"/>
        <v>-3.293892756939254E-3</v>
      </c>
      <c r="Z247" s="26">
        <f t="shared" si="151"/>
        <v>-0.10511286108214875</v>
      </c>
      <c r="AA247" s="23">
        <f t="shared" si="152"/>
        <v>-6.0225233125520461</v>
      </c>
      <c r="AB247" s="24">
        <f t="shared" si="168"/>
        <v>3.2622791859613365E-3</v>
      </c>
      <c r="AD247" s="33">
        <f t="shared" si="169"/>
        <v>0.87317278690021483</v>
      </c>
      <c r="AE247" s="33">
        <f t="shared" si="153"/>
        <v>50.029115475058326</v>
      </c>
      <c r="AF247" s="33">
        <f t="shared" si="154"/>
        <v>-5.081609030500589E-4</v>
      </c>
      <c r="AG247" s="33">
        <f t="shared" si="170"/>
        <v>5.3197558515307386E-2</v>
      </c>
      <c r="AH247" s="33">
        <f t="shared" si="171"/>
        <v>4.9244040319917914E-4</v>
      </c>
      <c r="AI247" s="35">
        <f t="shared" si="137"/>
        <v>-0.10538125742653065</v>
      </c>
      <c r="AJ247" s="33">
        <f t="shared" si="155"/>
        <v>-6.0379012903218694</v>
      </c>
      <c r="AK247" s="37">
        <f t="shared" si="172"/>
        <v>-4.8771414136439262E-4</v>
      </c>
      <c r="AM247" s="41">
        <f t="shared" si="156"/>
        <v>-5.3067374783805007E-2</v>
      </c>
      <c r="AN247" s="41">
        <f t="shared" si="157"/>
        <v>-3.0405366049509963</v>
      </c>
      <c r="AO247" s="42">
        <f t="shared" si="158"/>
        <v>5.3067374783805007E-2</v>
      </c>
      <c r="AP247" s="41">
        <f t="shared" si="173"/>
        <v>-0.2621800420534367</v>
      </c>
      <c r="AQ247" s="41">
        <f t="shared" si="174"/>
        <v>-5.3275958317514083E-2</v>
      </c>
      <c r="AR247" s="43">
        <f t="shared" si="138"/>
        <v>0.47739778952053602</v>
      </c>
      <c r="AS247" s="41">
        <f t="shared" si="139"/>
        <v>27.352878488401515</v>
      </c>
      <c r="AU247" s="48">
        <f t="shared" si="175"/>
        <v>5.2752450974661323E-2</v>
      </c>
      <c r="AV247" s="48">
        <f t="shared" si="159"/>
        <v>3.0224927998188797</v>
      </c>
      <c r="AW247" s="49">
        <f t="shared" si="160"/>
        <v>0.42464533854587472</v>
      </c>
      <c r="AX247" s="48">
        <f t="shared" si="176"/>
        <v>-0.4217980930833074</v>
      </c>
      <c r="AY247" s="48">
        <f t="shared" si="177"/>
        <v>-0.42757182293509666</v>
      </c>
      <c r="AZ247" s="50">
        <f t="shared" si="161"/>
        <v>-3.5566318104591488E-3</v>
      </c>
      <c r="BA247" s="48">
        <f t="shared" si="162"/>
        <v>-0.20377999202128219</v>
      </c>
      <c r="BB247" s="52">
        <f t="shared" si="178"/>
        <v>-5.1867227985873343E-2</v>
      </c>
      <c r="BC247" s="44">
        <f t="shared" si="163"/>
        <v>5.2752450974661323E-2</v>
      </c>
    </row>
    <row r="248" spans="4:55" x14ac:dyDescent="0.3">
      <c r="D248">
        <f t="shared" si="164"/>
        <v>2.4599999999999915</v>
      </c>
      <c r="F248" s="5">
        <f t="shared" si="140"/>
        <v>0.86902047799478122</v>
      </c>
      <c r="G248" s="6">
        <f t="shared" si="141"/>
        <v>49.791205699542395</v>
      </c>
      <c r="I248" s="9">
        <f t="shared" si="142"/>
        <v>0.86923929157878155</v>
      </c>
      <c r="J248" s="9">
        <f t="shared" si="143"/>
        <v>49.803742794405743</v>
      </c>
      <c r="K248" s="9">
        <f t="shared" si="144"/>
        <v>-6.0359012715033646</v>
      </c>
      <c r="L248" s="9">
        <f t="shared" si="145"/>
        <v>-0.1053463505130459</v>
      </c>
      <c r="M248" s="11">
        <f t="shared" si="135"/>
        <v>7.6282318991409692E-3</v>
      </c>
      <c r="O248" s="15">
        <f t="shared" si="146"/>
        <v>0.87249226723799644</v>
      </c>
      <c r="P248" s="15">
        <f t="shared" si="147"/>
        <v>49.990124570537546</v>
      </c>
      <c r="Q248" s="15">
        <v>-6.0359012715033602</v>
      </c>
      <c r="R248" s="15">
        <f t="shared" si="148"/>
        <v>-0.10534635051304582</v>
      </c>
      <c r="S248" s="16">
        <f t="shared" si="136"/>
        <v>3.8384356800968966E-4</v>
      </c>
      <c r="U248" s="23">
        <f t="shared" si="165"/>
        <v>0.8692982029206725</v>
      </c>
      <c r="V248" s="23">
        <f t="shared" si="149"/>
        <v>49.807118165661549</v>
      </c>
      <c r="W248" s="23">
        <f t="shared" si="150"/>
        <v>3.3664230764922642E-3</v>
      </c>
      <c r="X248" s="23">
        <f t="shared" si="166"/>
        <v>4.9199283635379822E-2</v>
      </c>
      <c r="Y248" s="23">
        <f t="shared" si="167"/>
        <v>-3.2622791859560074E-3</v>
      </c>
      <c r="Z248" s="26">
        <f t="shared" si="151"/>
        <v>-0.10511510202781439</v>
      </c>
      <c r="AA248" s="23">
        <f t="shared" si="152"/>
        <v>-6.0226517092808063</v>
      </c>
      <c r="AB248" s="24">
        <f t="shared" si="168"/>
        <v>3.2309690304104244E-3</v>
      </c>
      <c r="AD248" s="33">
        <f t="shared" si="169"/>
        <v>0.87316790975880121</v>
      </c>
      <c r="AE248" s="33">
        <f t="shared" si="153"/>
        <v>50.028836035439234</v>
      </c>
      <c r="AF248" s="33">
        <f t="shared" si="154"/>
        <v>-5.0328376163644162E-4</v>
      </c>
      <c r="AG248" s="33">
        <f t="shared" si="170"/>
        <v>5.3192525677691019E-2</v>
      </c>
      <c r="AH248" s="33">
        <f t="shared" si="171"/>
        <v>4.8771414136172808E-4</v>
      </c>
      <c r="AI248" s="35">
        <f t="shared" si="137"/>
        <v>-0.10538092240281596</v>
      </c>
      <c r="AJ248" s="33">
        <f t="shared" si="155"/>
        <v>-6.0378820948769807</v>
      </c>
      <c r="AK248" s="37">
        <f t="shared" si="172"/>
        <v>-4.8303324044862705E-4</v>
      </c>
      <c r="AM248" s="41">
        <f t="shared" si="156"/>
        <v>-5.2539850274058393E-2</v>
      </c>
      <c r="AN248" s="41">
        <f t="shared" si="157"/>
        <v>-3.0103116769528073</v>
      </c>
      <c r="AO248" s="42">
        <f t="shared" si="158"/>
        <v>5.2539850274058393E-2</v>
      </c>
      <c r="AP248" s="41">
        <f t="shared" si="173"/>
        <v>-0.26165464355069612</v>
      </c>
      <c r="AQ248" s="41">
        <f t="shared" si="174"/>
        <v>-5.2752450974661441E-2</v>
      </c>
      <c r="AR248" s="43">
        <f t="shared" si="138"/>
        <v>0.47264605176592256</v>
      </c>
      <c r="AS248" s="41">
        <f t="shared" si="139"/>
        <v>27.080623969709194</v>
      </c>
      <c r="AU248" s="48">
        <f t="shared" si="175"/>
        <v>5.2233778694802592E-2</v>
      </c>
      <c r="AV248" s="48">
        <f t="shared" si="159"/>
        <v>2.9927750672325462</v>
      </c>
      <c r="AW248" s="49">
        <f t="shared" si="160"/>
        <v>0.42041227307111995</v>
      </c>
      <c r="AX248" s="48">
        <f t="shared" si="176"/>
        <v>-0.41759397035259621</v>
      </c>
      <c r="AY248" s="48">
        <f t="shared" si="177"/>
        <v>-0.42330654747547714</v>
      </c>
      <c r="AZ248" s="50">
        <f t="shared" si="161"/>
        <v>-3.5200726996700848E-3</v>
      </c>
      <c r="BA248" s="48">
        <f t="shared" si="162"/>
        <v>-0.20168530927031764</v>
      </c>
      <c r="BB248" s="52">
        <f t="shared" si="178"/>
        <v>-5.1386584671547109E-2</v>
      </c>
      <c r="BC248" s="44">
        <f t="shared" si="163"/>
        <v>5.2233778694802592E-2</v>
      </c>
    </row>
    <row r="249" spans="4:55" x14ac:dyDescent="0.3">
      <c r="D249">
        <f t="shared" si="164"/>
        <v>2.4699999999999913</v>
      </c>
      <c r="F249" s="5">
        <f t="shared" si="140"/>
        <v>0.86910073630532658</v>
      </c>
      <c r="G249" s="6">
        <f t="shared" si="141"/>
        <v>49.795804162007492</v>
      </c>
      <c r="I249" s="9">
        <f t="shared" si="142"/>
        <v>0.86931557389777292</v>
      </c>
      <c r="J249" s="9">
        <f t="shared" si="143"/>
        <v>49.808113449335423</v>
      </c>
      <c r="K249" s="9">
        <f t="shared" si="144"/>
        <v>-6.0359012715033646</v>
      </c>
      <c r="L249" s="9">
        <f t="shared" si="145"/>
        <v>-0.1053463505130459</v>
      </c>
      <c r="M249" s="11">
        <f t="shared" si="135"/>
        <v>7.458350904179456E-3</v>
      </c>
      <c r="O249" s="15">
        <f t="shared" si="146"/>
        <v>0.87249610567367653</v>
      </c>
      <c r="P249" s="15">
        <f t="shared" si="147"/>
        <v>49.990344496701944</v>
      </c>
      <c r="Q249" s="15">
        <v>-6.0359012715033602</v>
      </c>
      <c r="R249" s="15">
        <f t="shared" si="148"/>
        <v>-0.10534635051304582</v>
      </c>
      <c r="S249" s="16">
        <f t="shared" si="136"/>
        <v>3.7529535813551895E-4</v>
      </c>
      <c r="U249" s="23">
        <f t="shared" si="165"/>
        <v>0.8693305126109766</v>
      </c>
      <c r="V249" s="23">
        <f t="shared" si="149"/>
        <v>49.808969374553349</v>
      </c>
      <c r="W249" s="23">
        <f t="shared" si="150"/>
        <v>3.3341133861881644E-3</v>
      </c>
      <c r="X249" s="23">
        <f t="shared" si="166"/>
        <v>4.9232624769241701E-2</v>
      </c>
      <c r="Y249" s="23">
        <f t="shared" si="167"/>
        <v>-3.2309690304099803E-3</v>
      </c>
      <c r="Z249" s="26">
        <f t="shared" si="151"/>
        <v>-0.10511732146570768</v>
      </c>
      <c r="AA249" s="23">
        <f t="shared" si="152"/>
        <v>-6.0227788737049828</v>
      </c>
      <c r="AB249" s="24">
        <f t="shared" si="168"/>
        <v>3.1999593782099378E-3</v>
      </c>
      <c r="AD249" s="33">
        <f t="shared" si="169"/>
        <v>0.8731630794263967</v>
      </c>
      <c r="AE249" s="33">
        <f t="shared" si="153"/>
        <v>50.028559277778811</v>
      </c>
      <c r="AF249" s="33">
        <f t="shared" si="154"/>
        <v>-4.9845342923193758E-4</v>
      </c>
      <c r="AG249" s="33">
        <f t="shared" si="170"/>
        <v>5.3187541143398701E-2</v>
      </c>
      <c r="AH249" s="33">
        <f t="shared" si="171"/>
        <v>4.8303324045040341E-4</v>
      </c>
      <c r="AI249" s="35">
        <f t="shared" si="137"/>
        <v>-0.10538059059453578</v>
      </c>
      <c r="AJ249" s="33">
        <f t="shared" si="155"/>
        <v>-6.037863083662919</v>
      </c>
      <c r="AK249" s="37">
        <f t="shared" si="172"/>
        <v>-4.7839726509524283E-4</v>
      </c>
      <c r="AM249" s="41">
        <f t="shared" si="156"/>
        <v>-5.2017512487110368E-2</v>
      </c>
      <c r="AN249" s="41">
        <f t="shared" si="157"/>
        <v>-2.9803839262804823</v>
      </c>
      <c r="AO249" s="42">
        <f t="shared" si="158"/>
        <v>5.2017512487110368E-2</v>
      </c>
      <c r="AP249" s="41">
        <f t="shared" si="173"/>
        <v>-0.26113446842582499</v>
      </c>
      <c r="AQ249" s="41">
        <f t="shared" si="174"/>
        <v>-5.223377869480253E-2</v>
      </c>
      <c r="AR249" s="43">
        <f t="shared" si="138"/>
        <v>0.46794134617630123</v>
      </c>
      <c r="AS249" s="41">
        <f t="shared" si="139"/>
        <v>26.811064195572282</v>
      </c>
      <c r="AU249" s="48">
        <f t="shared" si="175"/>
        <v>5.1719912848087121E-2</v>
      </c>
      <c r="AV249" s="48">
        <f t="shared" si="159"/>
        <v>2.9633327229798332</v>
      </c>
      <c r="AW249" s="49">
        <f t="shared" si="160"/>
        <v>0.4162214333282141</v>
      </c>
      <c r="AX249" s="48">
        <f t="shared" si="176"/>
        <v>-0.41343175601931409</v>
      </c>
      <c r="AY249" s="48">
        <f t="shared" si="177"/>
        <v>-0.41908397429058497</v>
      </c>
      <c r="AZ249" s="50">
        <f t="shared" si="161"/>
        <v>-3.4839347463470893E-3</v>
      </c>
      <c r="BA249" s="48">
        <f t="shared" si="162"/>
        <v>-0.19961475706466922</v>
      </c>
      <c r="BB249" s="52">
        <f t="shared" si="178"/>
        <v>-5.0908875796967609E-2</v>
      </c>
      <c r="BC249" s="44">
        <f t="shared" si="163"/>
        <v>5.1719912848087121E-2</v>
      </c>
    </row>
    <row r="250" spans="4:55" x14ac:dyDescent="0.3">
      <c r="D250">
        <f t="shared" si="164"/>
        <v>2.4799999999999911</v>
      </c>
      <c r="F250" s="5">
        <f t="shared" si="140"/>
        <v>0.86917922701576145</v>
      </c>
      <c r="G250" s="6">
        <f t="shared" si="141"/>
        <v>49.800301348446396</v>
      </c>
      <c r="I250" s="9">
        <f t="shared" si="142"/>
        <v>0.86939015740681469</v>
      </c>
      <c r="J250" s="9">
        <f t="shared" si="143"/>
        <v>49.812386769624787</v>
      </c>
      <c r="K250" s="9">
        <f t="shared" si="144"/>
        <v>-6.0359012715033646</v>
      </c>
      <c r="L250" s="9">
        <f t="shared" si="145"/>
        <v>-0.1053463505130459</v>
      </c>
      <c r="M250" s="11">
        <f t="shared" si="135"/>
        <v>7.2922531650012612E-3</v>
      </c>
      <c r="O250" s="15">
        <f t="shared" si="146"/>
        <v>0.87249985862725787</v>
      </c>
      <c r="P250" s="15">
        <f t="shared" si="147"/>
        <v>49.990559525102867</v>
      </c>
      <c r="Q250" s="15">
        <v>-6.0359012715033602</v>
      </c>
      <c r="R250" s="15">
        <f t="shared" si="148"/>
        <v>-0.10534635051304582</v>
      </c>
      <c r="S250" s="16">
        <f t="shared" si="136"/>
        <v>3.6693751719862888E-4</v>
      </c>
      <c r="U250" s="23">
        <f t="shared" si="165"/>
        <v>0.86936251220475869</v>
      </c>
      <c r="V250" s="23">
        <f t="shared" si="149"/>
        <v>49.810802816223195</v>
      </c>
      <c r="W250" s="23">
        <f t="shared" si="150"/>
        <v>3.3021137924060806E-3</v>
      </c>
      <c r="X250" s="23">
        <f t="shared" si="166"/>
        <v>4.9265645907165763E-2</v>
      </c>
      <c r="Y250" s="23">
        <f t="shared" si="167"/>
        <v>-3.1999593782083835E-3</v>
      </c>
      <c r="Z250" s="26">
        <f t="shared" si="151"/>
        <v>-0.10511951960225265</v>
      </c>
      <c r="AA250" s="23">
        <f t="shared" si="152"/>
        <v>-6.0229048176518027</v>
      </c>
      <c r="AB250" s="24">
        <f t="shared" si="168"/>
        <v>3.1692473452464842E-3</v>
      </c>
      <c r="AD250" s="33">
        <f t="shared" si="169"/>
        <v>0.87315829545374579</v>
      </c>
      <c r="AE250" s="33">
        <f t="shared" si="153"/>
        <v>50.02828517633661</v>
      </c>
      <c r="AF250" s="33">
        <f t="shared" si="154"/>
        <v>-4.9366945658102512E-4</v>
      </c>
      <c r="AG250" s="33">
        <f t="shared" si="170"/>
        <v>5.3182604448832889E-2</v>
      </c>
      <c r="AH250" s="33">
        <f t="shared" si="171"/>
        <v>4.7839726509124603E-4</v>
      </c>
      <c r="AI250" s="35">
        <f t="shared" si="137"/>
        <v>-0.10538026197082918</v>
      </c>
      <c r="AJ250" s="33">
        <f t="shared" si="155"/>
        <v>-6.0378442549114828</v>
      </c>
      <c r="AK250" s="37">
        <f t="shared" si="172"/>
        <v>-4.7380578413247498E-4</v>
      </c>
      <c r="AM250" s="41">
        <f t="shared" si="156"/>
        <v>-5.1500313358629493E-2</v>
      </c>
      <c r="AN250" s="41">
        <f t="shared" si="157"/>
        <v>-2.9507505990506835</v>
      </c>
      <c r="AO250" s="42">
        <f t="shared" si="158"/>
        <v>5.1500313358629493E-2</v>
      </c>
      <c r="AP250" s="41">
        <f t="shared" si="173"/>
        <v>-0.26061946529223867</v>
      </c>
      <c r="AQ250" s="41">
        <f t="shared" si="174"/>
        <v>-5.1719912848087468E-2</v>
      </c>
      <c r="AR250" s="43">
        <f t="shared" si="138"/>
        <v>0.46328322073820744</v>
      </c>
      <c r="AS250" s="41">
        <f t="shared" si="139"/>
        <v>26.544173267526983</v>
      </c>
      <c r="AU250" s="48">
        <f t="shared" si="175"/>
        <v>5.1210824090117443E-2</v>
      </c>
      <c r="AV250" s="48">
        <f t="shared" si="159"/>
        <v>2.9341640857506137</v>
      </c>
      <c r="AW250" s="49">
        <f t="shared" si="160"/>
        <v>0.41207239664808998</v>
      </c>
      <c r="AX250" s="48">
        <f t="shared" si="176"/>
        <v>-0.4093110320528332</v>
      </c>
      <c r="AY250" s="48">
        <f t="shared" si="177"/>
        <v>-0.41490366801241185</v>
      </c>
      <c r="AZ250" s="50">
        <f t="shared" si="161"/>
        <v>-3.4482108504514941E-3</v>
      </c>
      <c r="BA250" s="48">
        <f t="shared" si="162"/>
        <v>-0.19756792860208688</v>
      </c>
      <c r="BB250" s="52">
        <f t="shared" si="178"/>
        <v>-5.0434166993418877E-2</v>
      </c>
      <c r="BC250" s="44">
        <f t="shared" si="163"/>
        <v>5.1210824090117443E-2</v>
      </c>
    </row>
    <row r="251" spans="4:55" x14ac:dyDescent="0.3">
      <c r="D251">
        <f t="shared" si="164"/>
        <v>2.4899999999999909</v>
      </c>
      <c r="F251" s="5">
        <f t="shared" si="140"/>
        <v>0.86925598905551416</v>
      </c>
      <c r="G251" s="6">
        <f t="shared" si="141"/>
        <v>49.804699489351037</v>
      </c>
      <c r="I251" s="9">
        <f t="shared" si="142"/>
        <v>0.86946307993846472</v>
      </c>
      <c r="J251" s="9">
        <f t="shared" si="143"/>
        <v>49.816564922919746</v>
      </c>
      <c r="K251" s="9">
        <f t="shared" si="144"/>
        <v>-6.0359012715033646</v>
      </c>
      <c r="L251" s="9">
        <f t="shared" si="145"/>
        <v>-0.1053463505130459</v>
      </c>
      <c r="M251" s="11">
        <f t="shared" si="135"/>
        <v>7.1298544283660004E-3</v>
      </c>
      <c r="O251" s="15">
        <f t="shared" si="146"/>
        <v>0.87250352800242981</v>
      </c>
      <c r="P251" s="15">
        <f t="shared" si="147"/>
        <v>49.990769764813663</v>
      </c>
      <c r="Q251" s="15">
        <v>-6.0359012715033602</v>
      </c>
      <c r="R251" s="15">
        <f t="shared" si="148"/>
        <v>-0.10534635051304582</v>
      </c>
      <c r="S251" s="16">
        <f t="shared" si="136"/>
        <v>3.5876580567584249E-4</v>
      </c>
      <c r="U251" s="23">
        <f t="shared" si="165"/>
        <v>0.86939420467821116</v>
      </c>
      <c r="V251" s="23">
        <f t="shared" si="149"/>
        <v>49.81261866119435</v>
      </c>
      <c r="W251" s="23">
        <f t="shared" si="150"/>
        <v>3.2704213189536091E-3</v>
      </c>
      <c r="X251" s="23">
        <f t="shared" si="166"/>
        <v>4.92983501203553E-2</v>
      </c>
      <c r="Y251" s="23">
        <f t="shared" si="167"/>
        <v>-3.1692473452471503E-3</v>
      </c>
      <c r="Z251" s="26">
        <f t="shared" si="151"/>
        <v>-0.10512169664189158</v>
      </c>
      <c r="AA251" s="23">
        <f t="shared" si="152"/>
        <v>-6.0230295528349469</v>
      </c>
      <c r="AB251" s="24">
        <f t="shared" si="168"/>
        <v>3.1388300750765374E-3</v>
      </c>
      <c r="AD251" s="33">
        <f t="shared" si="169"/>
        <v>0.8731535573959045</v>
      </c>
      <c r="AE251" s="33">
        <f t="shared" si="153"/>
        <v>50.028013705619216</v>
      </c>
      <c r="AF251" s="33">
        <f t="shared" si="154"/>
        <v>-4.8893139873973368E-4</v>
      </c>
      <c r="AG251" s="33">
        <f t="shared" si="170"/>
        <v>5.3177715134845489E-2</v>
      </c>
      <c r="AH251" s="33">
        <f t="shared" si="171"/>
        <v>4.7380578412914431E-4</v>
      </c>
      <c r="AI251" s="35">
        <f t="shared" si="137"/>
        <v>-0.10537993650113216</v>
      </c>
      <c r="AJ251" s="33">
        <f t="shared" si="155"/>
        <v>-6.0378256068714835</v>
      </c>
      <c r="AK251" s="37">
        <f t="shared" si="172"/>
        <v>-4.6925837051214891E-4</v>
      </c>
      <c r="AM251" s="41">
        <f t="shared" si="156"/>
        <v>-5.0988205117728322E-2</v>
      </c>
      <c r="AN251" s="41">
        <f t="shared" si="157"/>
        <v>-2.9214089581931777</v>
      </c>
      <c r="AO251" s="42">
        <f t="shared" si="158"/>
        <v>5.0988205117728322E-2</v>
      </c>
      <c r="AP251" s="41">
        <f t="shared" si="173"/>
        <v>-0.26010958324106137</v>
      </c>
      <c r="AQ251" s="41">
        <f t="shared" si="174"/>
        <v>-5.1210824090117124E-2</v>
      </c>
      <c r="AR251" s="43">
        <f t="shared" si="138"/>
        <v>0.45867122708716612</v>
      </c>
      <c r="AS251" s="41">
        <f t="shared" si="139"/>
        <v>26.279925496181182</v>
      </c>
      <c r="AU251" s="48">
        <f t="shared" si="175"/>
        <v>5.0706482420183253E-2</v>
      </c>
      <c r="AV251" s="48">
        <f t="shared" si="159"/>
        <v>2.9052674366308047</v>
      </c>
      <c r="AW251" s="49">
        <f t="shared" si="160"/>
        <v>0.40796474466698285</v>
      </c>
      <c r="AX251" s="48">
        <f t="shared" si="176"/>
        <v>-0.40523138460616337</v>
      </c>
      <c r="AY251" s="48">
        <f t="shared" si="177"/>
        <v>-0.41076519811071299</v>
      </c>
      <c r="AZ251" s="50">
        <f t="shared" si="161"/>
        <v>-3.4128941310853922E-3</v>
      </c>
      <c r="BA251" s="48">
        <f t="shared" si="162"/>
        <v>-0.19554442963616131</v>
      </c>
      <c r="BB251" s="52">
        <f t="shared" si="178"/>
        <v>-4.9962518387869817E-2</v>
      </c>
      <c r="BC251" s="44">
        <f t="shared" si="163"/>
        <v>5.0706482420183253E-2</v>
      </c>
    </row>
    <row r="252" spans="4:55" x14ac:dyDescent="0.3">
      <c r="D252">
        <f t="shared" si="164"/>
        <v>2.4999999999999907</v>
      </c>
      <c r="F252" s="5">
        <f t="shared" si="140"/>
        <v>0.86933106049663578</v>
      </c>
      <c r="G252" s="6">
        <f t="shared" si="141"/>
        <v>49.809000766089277</v>
      </c>
      <c r="I252" s="9">
        <f t="shared" si="142"/>
        <v>0.86953437848274839</v>
      </c>
      <c r="J252" s="9">
        <f t="shared" si="143"/>
        <v>49.820650028592624</v>
      </c>
      <c r="K252" s="9">
        <f t="shared" si="144"/>
        <v>-6.0359012715033646</v>
      </c>
      <c r="L252" s="9">
        <f t="shared" si="145"/>
        <v>-0.1053463505130459</v>
      </c>
      <c r="M252" s="11">
        <f t="shared" si="135"/>
        <v>6.9710723173557199E-3</v>
      </c>
      <c r="O252" s="15">
        <f t="shared" si="146"/>
        <v>0.87250711566048655</v>
      </c>
      <c r="P252" s="15">
        <f t="shared" si="147"/>
        <v>49.990975322478654</v>
      </c>
      <c r="Q252" s="15">
        <v>-6.0359012715033602</v>
      </c>
      <c r="R252" s="15">
        <f t="shared" si="148"/>
        <v>-0.10534635051304582</v>
      </c>
      <c r="S252" s="16">
        <f t="shared" si="136"/>
        <v>3.50776078458237E-4</v>
      </c>
      <c r="U252" s="23">
        <f t="shared" si="165"/>
        <v>0.86942559297896194</v>
      </c>
      <c r="V252" s="23">
        <f t="shared" si="149"/>
        <v>49.814417078353458</v>
      </c>
      <c r="W252" s="23">
        <f t="shared" si="150"/>
        <v>3.2390330182028304E-3</v>
      </c>
      <c r="X252" s="23">
        <f t="shared" si="166"/>
        <v>4.9330740450537328E-2</v>
      </c>
      <c r="Y252" s="23">
        <f t="shared" si="167"/>
        <v>-3.1388300750778697E-3</v>
      </c>
      <c r="Z252" s="26">
        <f t="shared" si="151"/>
        <v>-0.10512385278710493</v>
      </c>
      <c r="AA252" s="23">
        <f t="shared" si="152"/>
        <v>-6.0231530908556881</v>
      </c>
      <c r="AB252" s="24">
        <f t="shared" si="168"/>
        <v>3.1087047386759714E-3</v>
      </c>
      <c r="AD252" s="33">
        <f t="shared" si="169"/>
        <v>0.87314886481219933</v>
      </c>
      <c r="AE252" s="33">
        <f t="shared" si="153"/>
        <v>50.027744840377899</v>
      </c>
      <c r="AF252" s="33">
        <f t="shared" si="154"/>
        <v>-4.8423881503456556E-4</v>
      </c>
      <c r="AG252" s="33">
        <f t="shared" si="170"/>
        <v>5.3172872746695146E-2</v>
      </c>
      <c r="AH252" s="33">
        <f t="shared" si="171"/>
        <v>4.6925837051681185E-4</v>
      </c>
      <c r="AI252" s="35">
        <f t="shared" si="137"/>
        <v>-0.10537961415517375</v>
      </c>
      <c r="AJ252" s="33">
        <f t="shared" si="155"/>
        <v>-6.0378071378085236</v>
      </c>
      <c r="AK252" s="37">
        <f t="shared" si="172"/>
        <v>-4.6475460129147272E-4</v>
      </c>
      <c r="AM252" s="41">
        <f t="shared" si="156"/>
        <v>-5.0481140293526489E-2</v>
      </c>
      <c r="AN252" s="41">
        <f t="shared" si="157"/>
        <v>-2.8923562838268695</v>
      </c>
      <c r="AO252" s="42">
        <f t="shared" si="158"/>
        <v>5.0481140293526489E-2</v>
      </c>
      <c r="AP252" s="41">
        <f t="shared" si="173"/>
        <v>-0.25960477183812608</v>
      </c>
      <c r="AQ252" s="41">
        <f t="shared" si="174"/>
        <v>-5.070648242018333E-2</v>
      </c>
      <c r="AR252" s="43">
        <f t="shared" si="138"/>
        <v>0.4541049205150815</v>
      </c>
      <c r="AS252" s="41">
        <f t="shared" si="139"/>
        <v>26.018295401637882</v>
      </c>
      <c r="AU252" s="48">
        <f t="shared" si="175"/>
        <v>5.0206857236304553E-2</v>
      </c>
      <c r="AV252" s="48">
        <f t="shared" si="159"/>
        <v>2.8766410222561074</v>
      </c>
      <c r="AW252" s="49">
        <f t="shared" si="160"/>
        <v>0.40389806327877698</v>
      </c>
      <c r="AX252" s="48">
        <f t="shared" si="176"/>
        <v>-0.40119240397337558</v>
      </c>
      <c r="AY252" s="48">
        <f t="shared" si="177"/>
        <v>-0.40666813882058728</v>
      </c>
      <c r="AZ252" s="50">
        <f t="shared" si="161"/>
        <v>-3.3779779166998591E-3</v>
      </c>
      <c r="BA252" s="48">
        <f t="shared" si="162"/>
        <v>-0.19354387791529629</v>
      </c>
      <c r="BB252" s="52">
        <f t="shared" si="178"/>
        <v>-4.9493984906194097E-2</v>
      </c>
      <c r="BC252" s="44">
        <f t="shared" si="163"/>
        <v>5.0206857236304553E-2</v>
      </c>
    </row>
    <row r="253" spans="4:55" x14ac:dyDescent="0.3">
      <c r="D253">
        <f t="shared" si="164"/>
        <v>2.5099999999999905</v>
      </c>
      <c r="F253" s="5">
        <f t="shared" si="140"/>
        <v>0.86940447857268255</v>
      </c>
      <c r="G253" s="6">
        <f t="shared" si="141"/>
        <v>49.813207311986723</v>
      </c>
      <c r="I253" s="9">
        <f t="shared" si="142"/>
        <v>0.86960408920592192</v>
      </c>
      <c r="J253" s="9">
        <f t="shared" si="143"/>
        <v>49.824644158817271</v>
      </c>
      <c r="K253" s="9">
        <f t="shared" si="144"/>
        <v>-6.0359012715033646</v>
      </c>
      <c r="L253" s="9">
        <f t="shared" si="145"/>
        <v>-0.1053463505130459</v>
      </c>
      <c r="M253" s="11">
        <f t="shared" si="135"/>
        <v>6.8158262895898769E-3</v>
      </c>
      <c r="O253" s="15">
        <f t="shared" si="146"/>
        <v>0.87251062342127117</v>
      </c>
      <c r="P253" s="15">
        <f t="shared" si="147"/>
        <v>49.991176302367151</v>
      </c>
      <c r="Q253" s="15">
        <v>-6.0359012715033602</v>
      </c>
      <c r="R253" s="15">
        <f t="shared" si="148"/>
        <v>-0.10534635051304582</v>
      </c>
      <c r="S253" s="16">
        <f t="shared" si="136"/>
        <v>3.4296428274904756E-4</v>
      </c>
      <c r="U253" s="23">
        <f t="shared" si="165"/>
        <v>0.86945668002634868</v>
      </c>
      <c r="V253" s="23">
        <f t="shared" si="149"/>
        <v>49.816198234966244</v>
      </c>
      <c r="W253" s="23">
        <f t="shared" si="150"/>
        <v>3.207945970816084E-3</v>
      </c>
      <c r="X253" s="23">
        <f t="shared" si="166"/>
        <v>4.9362819910245485E-2</v>
      </c>
      <c r="Y253" s="23">
        <f t="shared" si="167"/>
        <v>-3.1087047386746391E-3</v>
      </c>
      <c r="Z253" s="26">
        <f t="shared" si="151"/>
        <v>-0.10512598823842977</v>
      </c>
      <c r="AA253" s="23">
        <f t="shared" si="152"/>
        <v>-6.023275443203957</v>
      </c>
      <c r="AB253" s="24">
        <f t="shared" si="168"/>
        <v>3.0788685341738287E-3</v>
      </c>
      <c r="AD253" s="33">
        <f t="shared" si="169"/>
        <v>0.87314421726618641</v>
      </c>
      <c r="AE253" s="33">
        <f t="shared" si="153"/>
        <v>50.027478555606265</v>
      </c>
      <c r="AF253" s="33">
        <f t="shared" si="154"/>
        <v>-4.7959126902163973E-4</v>
      </c>
      <c r="AG253" s="33">
        <f t="shared" si="170"/>
        <v>5.3168076834004929E-2</v>
      </c>
      <c r="AH253" s="33">
        <f t="shared" si="171"/>
        <v>4.6475460129258295E-4</v>
      </c>
      <c r="AI253" s="35">
        <f t="shared" si="137"/>
        <v>-0.10537929490297304</v>
      </c>
      <c r="AJ253" s="33">
        <f t="shared" si="155"/>
        <v>-6.0377888460048235</v>
      </c>
      <c r="AK253" s="37">
        <f t="shared" si="172"/>
        <v>-4.6029405759528963E-4</v>
      </c>
      <c r="AM253" s="41">
        <f t="shared" si="156"/>
        <v>-4.9979071721163441E-2</v>
      </c>
      <c r="AN253" s="41">
        <f t="shared" si="157"/>
        <v>-2.8635898736043082</v>
      </c>
      <c r="AO253" s="42">
        <f t="shared" si="158"/>
        <v>4.9979071721163441E-2</v>
      </c>
      <c r="AP253" s="41">
        <f t="shared" si="173"/>
        <v>-0.25910498112091446</v>
      </c>
      <c r="AQ253" s="41">
        <f t="shared" si="174"/>
        <v>-5.0206857236304719E-2</v>
      </c>
      <c r="AR253" s="43">
        <f t="shared" si="138"/>
        <v>0.44958385997532968</v>
      </c>
      <c r="AS253" s="41">
        <f t="shared" si="139"/>
        <v>25.759257713786965</v>
      </c>
      <c r="AU253" s="48">
        <f t="shared" si="175"/>
        <v>4.9711917387242614E-2</v>
      </c>
      <c r="AV253" s="48">
        <f t="shared" si="159"/>
        <v>2.8482830577920164</v>
      </c>
      <c r="AW253" s="49">
        <f t="shared" si="160"/>
        <v>0.39987194258808706</v>
      </c>
      <c r="AX253" s="48">
        <f t="shared" si="176"/>
        <v>-0.39719368454749471</v>
      </c>
      <c r="AY253" s="48">
        <f t="shared" si="177"/>
        <v>-0.40261206906899161</v>
      </c>
      <c r="AZ253" s="50">
        <f t="shared" si="161"/>
        <v>-3.3434557358397454E-3</v>
      </c>
      <c r="BA253" s="48">
        <f t="shared" si="162"/>
        <v>-0.19156590265242446</v>
      </c>
      <c r="BB253" s="52">
        <f t="shared" si="178"/>
        <v>-4.9028616559738447E-2</v>
      </c>
      <c r="BC253" s="44">
        <f t="shared" si="163"/>
        <v>4.9711917387242614E-2</v>
      </c>
    </row>
    <row r="254" spans="4:55" x14ac:dyDescent="0.3">
      <c r="D254">
        <f t="shared" si="164"/>
        <v>2.5199999999999902</v>
      </c>
      <c r="F254" s="5">
        <f t="shared" si="140"/>
        <v>0.86947627969718311</v>
      </c>
      <c r="G254" s="6">
        <f t="shared" si="141"/>
        <v>49.817321213384901</v>
      </c>
      <c r="I254" s="9">
        <f t="shared" si="142"/>
        <v>0.86967224746881777</v>
      </c>
      <c r="J254" s="9">
        <f t="shared" si="143"/>
        <v>49.828549339620146</v>
      </c>
      <c r="K254" s="9">
        <f t="shared" si="144"/>
        <v>-6.0359012715033646</v>
      </c>
      <c r="L254" s="9">
        <f t="shared" si="145"/>
        <v>-0.1053463505130459</v>
      </c>
      <c r="M254" s="11">
        <f t="shared" si="135"/>
        <v>6.6640375963684662E-3</v>
      </c>
      <c r="O254" s="15">
        <f t="shared" si="146"/>
        <v>0.87251405306409868</v>
      </c>
      <c r="P254" s="15">
        <f t="shared" si="147"/>
        <v>49.991372806426405</v>
      </c>
      <c r="Q254" s="15">
        <v>-6.0359012715033602</v>
      </c>
      <c r="R254" s="15">
        <f t="shared" si="148"/>
        <v>-0.10534635051304582</v>
      </c>
      <c r="S254" s="16">
        <f t="shared" si="136"/>
        <v>3.3532645600731215E-4</v>
      </c>
      <c r="U254" s="23">
        <f t="shared" si="165"/>
        <v>0.86948746871169047</v>
      </c>
      <c r="V254" s="23">
        <f t="shared" si="149"/>
        <v>49.817962296693082</v>
      </c>
      <c r="W254" s="23">
        <f t="shared" si="150"/>
        <v>3.1771572854742969E-3</v>
      </c>
      <c r="X254" s="23">
        <f t="shared" si="166"/>
        <v>4.9394591483100228E-2</v>
      </c>
      <c r="Y254" s="23">
        <f t="shared" si="167"/>
        <v>-3.0788685341787136E-3</v>
      </c>
      <c r="Z254" s="26">
        <f t="shared" si="151"/>
        <v>-0.10512810319447816</v>
      </c>
      <c r="AA254" s="23">
        <f t="shared" si="152"/>
        <v>-6.0233966212593861</v>
      </c>
      <c r="AB254" s="24">
        <f t="shared" si="168"/>
        <v>3.0493186865836464E-3</v>
      </c>
      <c r="AD254" s="33">
        <f t="shared" si="169"/>
        <v>0.87313961432561049</v>
      </c>
      <c r="AE254" s="33">
        <f t="shared" si="153"/>
        <v>50.027214826537914</v>
      </c>
      <c r="AF254" s="33">
        <f t="shared" si="154"/>
        <v>-4.7498832844572458E-4</v>
      </c>
      <c r="AG254" s="33">
        <f t="shared" si="170"/>
        <v>5.3163326950720471E-2</v>
      </c>
      <c r="AH254" s="33">
        <f t="shared" si="171"/>
        <v>4.6029405759151487E-4</v>
      </c>
      <c r="AI254" s="35">
        <f t="shared" si="137"/>
        <v>-0.10537897871483745</v>
      </c>
      <c r="AJ254" s="33">
        <f t="shared" si="155"/>
        <v>-6.0377707297591217</v>
      </c>
      <c r="AK254" s="37">
        <f t="shared" si="172"/>
        <v>-4.5587632455768023E-4</v>
      </c>
      <c r="AM254" s="41">
        <f t="shared" si="156"/>
        <v>-4.9481952547291014E-2</v>
      </c>
      <c r="AN254" s="41">
        <f t="shared" si="157"/>
        <v>-2.8351070430263881</v>
      </c>
      <c r="AO254" s="42">
        <f t="shared" si="158"/>
        <v>4.9481952547291014E-2</v>
      </c>
      <c r="AP254" s="41">
        <f t="shared" si="173"/>
        <v>-0.25861016159544153</v>
      </c>
      <c r="AQ254" s="41">
        <f t="shared" si="174"/>
        <v>-4.971191738724276E-2</v>
      </c>
      <c r="AR254" s="43">
        <f t="shared" si="138"/>
        <v>0.44510760808566741</v>
      </c>
      <c r="AS254" s="41">
        <f t="shared" si="139"/>
        <v>25.502787372471857</v>
      </c>
      <c r="AU254" s="48">
        <f t="shared" si="175"/>
        <v>4.9221631221645232E-2</v>
      </c>
      <c r="AV254" s="48">
        <f t="shared" si="159"/>
        <v>2.8201917297496339</v>
      </c>
      <c r="AW254" s="49">
        <f t="shared" si="160"/>
        <v>0.39588597686402216</v>
      </c>
      <c r="AX254" s="48">
        <f t="shared" si="176"/>
        <v>-0.39323482477885446</v>
      </c>
      <c r="AY254" s="48">
        <f t="shared" si="177"/>
        <v>-0.39859657240648994</v>
      </c>
      <c r="AZ254" s="50">
        <f t="shared" si="161"/>
        <v>-3.3093213083029427E-3</v>
      </c>
      <c r="BA254" s="48">
        <f t="shared" si="162"/>
        <v>-0.18961014401847054</v>
      </c>
      <c r="BB254" s="52">
        <f t="shared" si="178"/>
        <v>-4.8566458717863283E-2</v>
      </c>
      <c r="BC254" s="44">
        <f t="shared" si="163"/>
        <v>4.9221631221645232E-2</v>
      </c>
    </row>
    <row r="255" spans="4:55" x14ac:dyDescent="0.3">
      <c r="D255">
        <f t="shared" si="164"/>
        <v>2.52999999999999</v>
      </c>
      <c r="F255" s="5">
        <f t="shared" si="140"/>
        <v>0.8695464994816986</v>
      </c>
      <c r="G255" s="6">
        <f t="shared" si="141"/>
        <v>49.821344510675956</v>
      </c>
      <c r="I255" s="9">
        <f t="shared" si="142"/>
        <v>0.86973888784478148</v>
      </c>
      <c r="J255" s="9">
        <f t="shared" si="143"/>
        <v>49.832367551908035</v>
      </c>
      <c r="K255" s="9">
        <f t="shared" si="144"/>
        <v>-6.0359012715033646</v>
      </c>
      <c r="L255" s="9">
        <f t="shared" si="145"/>
        <v>-0.1053463505130459</v>
      </c>
      <c r="M255" s="11">
        <f t="shared" si="135"/>
        <v>6.5156292427290818E-3</v>
      </c>
      <c r="O255" s="15">
        <f t="shared" si="146"/>
        <v>0.87251740632865871</v>
      </c>
      <c r="P255" s="15">
        <f t="shared" si="147"/>
        <v>49.99156493433329</v>
      </c>
      <c r="Q255" s="15">
        <v>-6.0359012715033602</v>
      </c>
      <c r="R255" s="15">
        <f t="shared" si="148"/>
        <v>-0.10534635051304582</v>
      </c>
      <c r="S255" s="16">
        <f t="shared" si="136"/>
        <v>3.2785872393858995E-4</v>
      </c>
      <c r="U255" s="23">
        <f t="shared" si="165"/>
        <v>0.86951796189855635</v>
      </c>
      <c r="V255" s="23">
        <f t="shared" si="149"/>
        <v>49.819709427604401</v>
      </c>
      <c r="W255" s="23">
        <f t="shared" si="150"/>
        <v>3.1466640986084204E-3</v>
      </c>
      <c r="X255" s="23">
        <f t="shared" si="166"/>
        <v>4.9426058124086313E-2</v>
      </c>
      <c r="Y255" s="23">
        <f t="shared" si="167"/>
        <v>-3.0493186865876432E-3</v>
      </c>
      <c r="Z255" s="26">
        <f t="shared" si="151"/>
        <v>-0.10513019785195653</v>
      </c>
      <c r="AA255" s="23">
        <f t="shared" si="152"/>
        <v>-6.0235166362924222</v>
      </c>
      <c r="AB255" s="24">
        <f t="shared" si="168"/>
        <v>3.0200524475625379E-3</v>
      </c>
      <c r="AD255" s="33">
        <f t="shared" si="169"/>
        <v>0.87313505556236493</v>
      </c>
      <c r="AE255" s="33">
        <f t="shared" si="153"/>
        <v>50.026953628644144</v>
      </c>
      <c r="AF255" s="33">
        <f t="shared" si="154"/>
        <v>-4.7042956520015888E-4</v>
      </c>
      <c r="AG255" s="33">
        <f t="shared" si="170"/>
        <v>5.3158622655068467E-2</v>
      </c>
      <c r="AH255" s="33">
        <f t="shared" si="171"/>
        <v>4.5587632455657001E-4</v>
      </c>
      <c r="AI255" s="35">
        <f t="shared" si="137"/>
        <v>-0.1053786655613594</v>
      </c>
      <c r="AJ255" s="33">
        <f t="shared" si="155"/>
        <v>-6.0377527873864896</v>
      </c>
      <c r="AK255" s="37">
        <f t="shared" si="172"/>
        <v>-4.5150099129509513E-4</v>
      </c>
      <c r="AM255" s="41">
        <f t="shared" si="156"/>
        <v>-4.8989736235074563E-2</v>
      </c>
      <c r="AN255" s="41">
        <f t="shared" si="157"/>
        <v>-2.8069051257288917</v>
      </c>
      <c r="AO255" s="42">
        <f t="shared" si="158"/>
        <v>4.8989736235074563E-2</v>
      </c>
      <c r="AP255" s="41">
        <f t="shared" si="173"/>
        <v>-0.25812026423309081</v>
      </c>
      <c r="AQ255" s="41">
        <f t="shared" si="174"/>
        <v>-4.9221631221645079E-2</v>
      </c>
      <c r="AR255" s="43">
        <f t="shared" si="138"/>
        <v>0.44067573112910058</v>
      </c>
      <c r="AS255" s="41">
        <f t="shared" si="139"/>
        <v>25.248859527539295</v>
      </c>
      <c r="AU255" s="48">
        <f t="shared" si="175"/>
        <v>4.8735966634466596E-2</v>
      </c>
      <c r="AV255" s="48">
        <f t="shared" si="159"/>
        <v>2.7923651986453346</v>
      </c>
      <c r="AW255" s="49">
        <f t="shared" si="160"/>
        <v>0.39193976449463397</v>
      </c>
      <c r="AX255" s="48">
        <f t="shared" si="176"/>
        <v>-0.3893154271339081</v>
      </c>
      <c r="AY255" s="48">
        <f t="shared" si="177"/>
        <v>-0.39462123693881912</v>
      </c>
      <c r="AZ255" s="50">
        <f t="shared" si="161"/>
        <v>-3.2755685367576448E-3</v>
      </c>
      <c r="BA255" s="48">
        <f t="shared" si="162"/>
        <v>-0.1876762526620557</v>
      </c>
      <c r="BB255" s="52">
        <f t="shared" si="178"/>
        <v>-4.8107552365964146E-2</v>
      </c>
      <c r="BC255" s="44">
        <f t="shared" si="163"/>
        <v>4.8735966634466596E-2</v>
      </c>
    </row>
    <row r="256" spans="4:55" x14ac:dyDescent="0.3">
      <c r="D256">
        <f t="shared" si="164"/>
        <v>2.5399999999999898</v>
      </c>
      <c r="F256" s="5">
        <f t="shared" si="140"/>
        <v>0.8696151727534851</v>
      </c>
      <c r="G256" s="6">
        <f t="shared" si="141"/>
        <v>49.825279199314679</v>
      </c>
      <c r="I256" s="9">
        <f t="shared" si="142"/>
        <v>0.8698040441372088</v>
      </c>
      <c r="J256" s="9">
        <f t="shared" si="143"/>
        <v>49.836100732472843</v>
      </c>
      <c r="K256" s="9">
        <f t="shared" si="144"/>
        <v>-6.0359012715033646</v>
      </c>
      <c r="L256" s="9">
        <f t="shared" si="145"/>
        <v>-0.1053463505130459</v>
      </c>
      <c r="M256" s="11">
        <f t="shared" si="135"/>
        <v>6.3705259483890497E-3</v>
      </c>
      <c r="O256" s="15">
        <f t="shared" si="146"/>
        <v>0.87252068491589807</v>
      </c>
      <c r="P256" s="15">
        <f t="shared" si="147"/>
        <v>49.991752783544868</v>
      </c>
      <c r="Q256" s="15">
        <v>-6.0359012715033602</v>
      </c>
      <c r="R256" s="15">
        <f t="shared" si="148"/>
        <v>-0.10534635051304582</v>
      </c>
      <c r="S256" s="16">
        <f t="shared" si="136"/>
        <v>3.2055729852742409E-4</v>
      </c>
      <c r="U256" s="23">
        <f t="shared" si="165"/>
        <v>0.86954816242303201</v>
      </c>
      <c r="V256" s="23">
        <f t="shared" si="149"/>
        <v>49.821439790195939</v>
      </c>
      <c r="W256" s="23">
        <f t="shared" si="150"/>
        <v>3.1164635741327551E-3</v>
      </c>
      <c r="X256" s="23">
        <f t="shared" si="166"/>
        <v>4.945722275982764E-2</v>
      </c>
      <c r="Y256" s="23">
        <f t="shared" si="167"/>
        <v>-3.0200524475665347E-3</v>
      </c>
      <c r="Z256" s="26">
        <f t="shared" si="151"/>
        <v>-0.10513227240568296</v>
      </c>
      <c r="AA256" s="23">
        <f t="shared" si="152"/>
        <v>-6.0236354994653194</v>
      </c>
      <c r="AB256" s="24">
        <f t="shared" si="168"/>
        <v>2.9910670951367457E-3</v>
      </c>
      <c r="AD256" s="33">
        <f t="shared" si="169"/>
        <v>0.87313054055245198</v>
      </c>
      <c r="AE256" s="33">
        <f t="shared" si="153"/>
        <v>50.026694937631675</v>
      </c>
      <c r="AF256" s="33">
        <f t="shared" si="154"/>
        <v>-4.6591455528721681E-4</v>
      </c>
      <c r="AG256" s="33">
        <f t="shared" si="170"/>
        <v>5.3153963509515595E-2</v>
      </c>
      <c r="AH256" s="33">
        <f t="shared" si="171"/>
        <v>4.5150099129420695E-4</v>
      </c>
      <c r="AI256" s="35">
        <f t="shared" si="137"/>
        <v>-0.10537835541341323</v>
      </c>
      <c r="AJ256" s="33">
        <f t="shared" si="155"/>
        <v>-6.0377350172181492</v>
      </c>
      <c r="AK256" s="37">
        <f t="shared" si="172"/>
        <v>-4.4716765087060573E-4</v>
      </c>
      <c r="AM256" s="41">
        <f t="shared" si="156"/>
        <v>-4.8502376568729896E-2</v>
      </c>
      <c r="AN256" s="41">
        <f t="shared" si="157"/>
        <v>-2.7789814737424385</v>
      </c>
      <c r="AO256" s="42">
        <f t="shared" si="158"/>
        <v>4.8502376568729896E-2</v>
      </c>
      <c r="AP256" s="41">
        <f t="shared" si="173"/>
        <v>-0.25763524046740349</v>
      </c>
      <c r="AQ256" s="41">
        <f t="shared" si="174"/>
        <v>-4.8735966634466665E-2</v>
      </c>
      <c r="AR256" s="43">
        <f t="shared" si="138"/>
        <v>0.43628779905283233</v>
      </c>
      <c r="AS256" s="41">
        <f t="shared" si="139"/>
        <v>24.997449538779048</v>
      </c>
      <c r="AU256" s="48">
        <f t="shared" si="175"/>
        <v>4.8254891110806955E-2</v>
      </c>
      <c r="AV256" s="48">
        <f t="shared" si="159"/>
        <v>2.7648016015125916</v>
      </c>
      <c r="AW256" s="49">
        <f t="shared" si="160"/>
        <v>0.38803290794202538</v>
      </c>
      <c r="AX256" s="48">
        <f t="shared" si="176"/>
        <v>-0.38543509805448783</v>
      </c>
      <c r="AY256" s="48">
        <f t="shared" si="177"/>
        <v>-0.39068565526085841</v>
      </c>
      <c r="AZ256" s="50">
        <f t="shared" si="161"/>
        <v>-3.2421914987708078E-3</v>
      </c>
      <c r="BA256" s="48">
        <f t="shared" si="162"/>
        <v>-0.18576388925276213</v>
      </c>
      <c r="BB256" s="52">
        <f t="shared" si="178"/>
        <v>-4.7651934350161976E-2</v>
      </c>
      <c r="BC256" s="44">
        <f t="shared" si="163"/>
        <v>4.8254891110806955E-2</v>
      </c>
    </row>
    <row r="257" spans="4:55" x14ac:dyDescent="0.3">
      <c r="D257">
        <f t="shared" si="164"/>
        <v>2.5499999999999896</v>
      </c>
      <c r="F257" s="5">
        <f t="shared" si="140"/>
        <v>0.86968233357276703</v>
      </c>
      <c r="G257" s="6">
        <f t="shared" si="141"/>
        <v>49.829127230808169</v>
      </c>
      <c r="I257" s="9">
        <f t="shared" si="142"/>
        <v>0.86986774939669265</v>
      </c>
      <c r="J257" s="9">
        <f t="shared" si="143"/>
        <v>49.83975077497405</v>
      </c>
      <c r="K257" s="9">
        <f t="shared" si="144"/>
        <v>-6.0359012715033646</v>
      </c>
      <c r="L257" s="9">
        <f t="shared" si="145"/>
        <v>-0.1053463505130459</v>
      </c>
      <c r="M257" s="11">
        <f t="shared" si="135"/>
        <v>6.2286541095606385E-3</v>
      </c>
      <c r="O257" s="15">
        <f t="shared" si="146"/>
        <v>0.87252389048888335</v>
      </c>
      <c r="P257" s="15">
        <f t="shared" si="147"/>
        <v>49.991936449347847</v>
      </c>
      <c r="Q257" s="15">
        <v>-6.0359012715033602</v>
      </c>
      <c r="R257" s="15">
        <f t="shared" si="148"/>
        <v>-0.10534635051304582</v>
      </c>
      <c r="S257" s="16">
        <f t="shared" si="136"/>
        <v>3.1341847611954243E-4</v>
      </c>
      <c r="U257" s="23">
        <f t="shared" si="165"/>
        <v>0.86957807309398338</v>
      </c>
      <c r="V257" s="23">
        <f t="shared" si="149"/>
        <v>49.823153545403855</v>
      </c>
      <c r="W257" s="23">
        <f t="shared" si="150"/>
        <v>3.0865529031813832E-3</v>
      </c>
      <c r="X257" s="23">
        <f t="shared" si="166"/>
        <v>4.9488088288859457E-2</v>
      </c>
      <c r="Y257" s="23">
        <f t="shared" si="167"/>
        <v>-2.9910670951371898E-3</v>
      </c>
      <c r="Z257" s="26">
        <f t="shared" si="151"/>
        <v>-0.10513432704860599</v>
      </c>
      <c r="AA257" s="23">
        <f t="shared" si="152"/>
        <v>-6.0237532218332159</v>
      </c>
      <c r="AB257" s="24">
        <f t="shared" si="168"/>
        <v>2.9623599334633877E-3</v>
      </c>
      <c r="AD257" s="33">
        <f t="shared" si="169"/>
        <v>0.87312606887594324</v>
      </c>
      <c r="AE257" s="33">
        <f t="shared" si="153"/>
        <v>50.026438729440372</v>
      </c>
      <c r="AF257" s="33">
        <f t="shared" si="154"/>
        <v>-4.6144287877847301E-4</v>
      </c>
      <c r="AG257" s="33">
        <f t="shared" si="170"/>
        <v>5.3149349080727812E-2</v>
      </c>
      <c r="AH257" s="33">
        <f t="shared" si="171"/>
        <v>4.4716765087438048E-4</v>
      </c>
      <c r="AI257" s="35">
        <f t="shared" si="137"/>
        <v>-0.10537804824215305</v>
      </c>
      <c r="AJ257" s="33">
        <f t="shared" si="155"/>
        <v>-6.0377174176013533</v>
      </c>
      <c r="AK257" s="37">
        <f t="shared" si="172"/>
        <v>-4.4287590025171575E-4</v>
      </c>
      <c r="AM257" s="41">
        <f t="shared" si="156"/>
        <v>-4.8019827657621826E-2</v>
      </c>
      <c r="AN257" s="41">
        <f t="shared" si="157"/>
        <v>-2.7513334577273127</v>
      </c>
      <c r="AO257" s="42">
        <f t="shared" si="158"/>
        <v>4.8019827657621826E-2</v>
      </c>
      <c r="AP257" s="41">
        <f t="shared" si="173"/>
        <v>-0.2571550421908273</v>
      </c>
      <c r="AQ257" s="41">
        <f t="shared" si="174"/>
        <v>-4.8254891110807024E-2</v>
      </c>
      <c r="AR257" s="43">
        <f t="shared" si="138"/>
        <v>0.43194338546541122</v>
      </c>
      <c r="AS257" s="41">
        <f t="shared" si="139"/>
        <v>24.748532975760529</v>
      </c>
      <c r="AU257" s="48">
        <f t="shared" si="175"/>
        <v>4.7778371767305337E-2</v>
      </c>
      <c r="AV257" s="48">
        <f t="shared" si="159"/>
        <v>2.737499054273604</v>
      </c>
      <c r="AW257" s="49">
        <f t="shared" si="160"/>
        <v>0.38416501369810591</v>
      </c>
      <c r="AX257" s="48">
        <f t="shared" si="176"/>
        <v>-0.38159344791750677</v>
      </c>
      <c r="AY257" s="48">
        <f t="shared" si="177"/>
        <v>-0.38678942439194786</v>
      </c>
      <c r="AZ257" s="50">
        <f t="shared" si="161"/>
        <v>-3.2091844392385382E-3</v>
      </c>
      <c r="BA257" s="48">
        <f t="shared" si="162"/>
        <v>-0.18387272404742602</v>
      </c>
      <c r="BB257" s="52">
        <f t="shared" si="178"/>
        <v>-4.7199637609128528E-2</v>
      </c>
      <c r="BC257" s="44">
        <f t="shared" si="163"/>
        <v>4.7778371767305337E-2</v>
      </c>
    </row>
    <row r="258" spans="4:55" x14ac:dyDescent="0.3">
      <c r="D258">
        <f t="shared" si="164"/>
        <v>2.5599999999999894</v>
      </c>
      <c r="F258" s="5">
        <f t="shared" si="140"/>
        <v>0.8697480152496303</v>
      </c>
      <c r="G258" s="6">
        <f t="shared" si="141"/>
        <v>49.832890513683779</v>
      </c>
      <c r="I258" s="9">
        <f t="shared" si="142"/>
        <v>0.86993003593778828</v>
      </c>
      <c r="J258" s="9">
        <f t="shared" si="143"/>
        <v>49.843319530899301</v>
      </c>
      <c r="K258" s="9">
        <f t="shared" si="144"/>
        <v>-6.0359012715033646</v>
      </c>
      <c r="L258" s="9">
        <f t="shared" si="145"/>
        <v>-0.1053463505130459</v>
      </c>
      <c r="M258" s="11">
        <f t="shared" ref="M258:M302" si="179">$B$4*$B$1*$B$2*$B$2*$B$5*$B$6*I258/(4*$B$3) + $B$4*$B$1*$B$2*$B$5*$B$5*$B$7*L258/(2*$B$3)</f>
        <v>6.0899417616151474E-3</v>
      </c>
      <c r="O258" s="15">
        <f t="shared" si="146"/>
        <v>0.87252702467364451</v>
      </c>
      <c r="P258" s="15">
        <f t="shared" si="147"/>
        <v>49.992116024906878</v>
      </c>
      <c r="Q258" s="15">
        <v>-6.0359012715033602</v>
      </c>
      <c r="R258" s="15">
        <f t="shared" si="148"/>
        <v>-0.10534635051304582</v>
      </c>
      <c r="S258" s="16">
        <f t="shared" ref="S258:S302" si="180">$B$4*$B$1*$B$2*$B$2*$B$5*$B$6*O258/(4*$B$3) + $B$4*$B$1*$B$2*$B$5*$B$5*$B$7*R258/(2*$B$3)</f>
        <v>3.0643863553958539E-4</v>
      </c>
      <c r="U258" s="23">
        <f t="shared" si="165"/>
        <v>0.86960769669331806</v>
      </c>
      <c r="V258" s="23">
        <f t="shared" si="149"/>
        <v>49.824850852619718</v>
      </c>
      <c r="W258" s="23">
        <f t="shared" si="150"/>
        <v>3.0569293038467116E-3</v>
      </c>
      <c r="X258" s="23">
        <f t="shared" si="166"/>
        <v>4.9518657581897926E-2</v>
      </c>
      <c r="Y258" s="23">
        <f t="shared" si="167"/>
        <v>-2.9623599334671624E-3</v>
      </c>
      <c r="Z258" s="26">
        <f t="shared" si="151"/>
        <v>-0.10513636197182194</v>
      </c>
      <c r="AA258" s="23">
        <f t="shared" si="152"/>
        <v>-6.0238698143451233</v>
      </c>
      <c r="AB258" s="24">
        <f t="shared" si="168"/>
        <v>2.9339282925651133E-3</v>
      </c>
      <c r="AD258" s="33">
        <f t="shared" si="169"/>
        <v>0.87312164011694071</v>
      </c>
      <c r="AE258" s="33">
        <f t="shared" si="153"/>
        <v>50.026184980241048</v>
      </c>
      <c r="AF258" s="33">
        <f t="shared" si="154"/>
        <v>-4.5701411977594475E-4</v>
      </c>
      <c r="AG258" s="33">
        <f t="shared" si="170"/>
        <v>5.3144778939530055E-2</v>
      </c>
      <c r="AH258" s="33">
        <f t="shared" si="171"/>
        <v>4.4287590025282597E-4</v>
      </c>
      <c r="AI258" s="35">
        <f t="shared" ref="AI258:AI302" si="181">MAX($B$34*AF258+$B$35*AG258+$B$36*AH258,RADIANS(-21.5))</f>
        <v>-0.10537774401900948</v>
      </c>
      <c r="AJ258" s="33">
        <f t="shared" si="155"/>
        <v>-6.037699986899197</v>
      </c>
      <c r="AK258" s="37">
        <f t="shared" si="172"/>
        <v>-4.3862534028038525E-4</v>
      </c>
      <c r="AM258" s="41">
        <f t="shared" si="156"/>
        <v>-4.7542043939948771E-2</v>
      </c>
      <c r="AN258" s="41">
        <f t="shared" si="157"/>
        <v>-2.7239584671845765</v>
      </c>
      <c r="AO258" s="42">
        <f t="shared" si="158"/>
        <v>4.7542043939948771E-2</v>
      </c>
      <c r="AP258" s="41">
        <f t="shared" si="173"/>
        <v>-0.25667962175142783</v>
      </c>
      <c r="AQ258" s="41">
        <f t="shared" si="174"/>
        <v>-4.7778371767305539E-2</v>
      </c>
      <c r="AR258" s="43">
        <f t="shared" ref="AR258:AR321" si="182">$B$55*AO258+$B$56*AP258+$B$57*AQ258</f>
        <v>0.42764206763218215</v>
      </c>
      <c r="AS258" s="41">
        <f t="shared" ref="AS258:AS302" si="183">DEGREES(AR258)</f>
        <v>24.502085617572149</v>
      </c>
      <c r="AU258" s="48">
        <f t="shared" si="175"/>
        <v>4.7306375391214052E-2</v>
      </c>
      <c r="AV258" s="48">
        <f t="shared" si="159"/>
        <v>2.7104556539781037</v>
      </c>
      <c r="AW258" s="49">
        <f t="shared" si="160"/>
        <v>0.38033569224096808</v>
      </c>
      <c r="AX258" s="48">
        <f t="shared" si="176"/>
        <v>-0.37779009099509708</v>
      </c>
      <c r="AY258" s="48">
        <f t="shared" si="177"/>
        <v>-0.38293214571378242</v>
      </c>
      <c r="AZ258" s="50">
        <f t="shared" si="161"/>
        <v>-3.1765417631730852E-3</v>
      </c>
      <c r="BA258" s="48">
        <f t="shared" si="162"/>
        <v>-0.18200243647686284</v>
      </c>
      <c r="BB258" s="52">
        <f t="shared" si="178"/>
        <v>-4.6750691394171082E-2</v>
      </c>
      <c r="BC258" s="44">
        <f t="shared" si="163"/>
        <v>4.7306375391214052E-2</v>
      </c>
    </row>
    <row r="259" spans="4:55" x14ac:dyDescent="0.3">
      <c r="D259">
        <f t="shared" si="164"/>
        <v>2.5699999999999892</v>
      </c>
      <c r="F259" s="5">
        <f t="shared" ref="F259:F302" si="184">$B$22+($B$13-$B$22)*EXP(-$B$9*D259)</f>
        <v>0.86981225036054299</v>
      </c>
      <c r="G259" s="6">
        <f t="shared" ref="G259:G302" si="185">DEGREES(F259)</f>
        <v>49.836570914435633</v>
      </c>
      <c r="I259" s="9">
        <f t="shared" ref="I259:I302" si="186">I258 + M258*$B$11</f>
        <v>0.86999093535540439</v>
      </c>
      <c r="J259" s="9">
        <f t="shared" ref="J259:J302" si="187">DEGREES(I259)</f>
        <v>49.846808810503504</v>
      </c>
      <c r="K259" s="9">
        <f t="shared" ref="K259:K302" si="188">$B$19</f>
        <v>-6.0359012715033646</v>
      </c>
      <c r="L259" s="9">
        <f t="shared" ref="L259:L302" si="189">RADIANS(K259)</f>
        <v>-0.1053463505130459</v>
      </c>
      <c r="M259" s="11">
        <f t="shared" si="179"/>
        <v>5.9543185425783296E-3</v>
      </c>
      <c r="O259" s="15">
        <f t="shared" ref="O259:O302" si="190">O258 + S258*$B$11</f>
        <v>0.87253008905999996</v>
      </c>
      <c r="P259" s="15">
        <f t="shared" ref="P259:P302" si="191">DEGREES(O259)</f>
        <v>49.992291601311841</v>
      </c>
      <c r="Q259" s="15">
        <v>-6.0359012715033602</v>
      </c>
      <c r="R259" s="15">
        <f t="shared" ref="R259:R302" si="192">RADIANS(Q259)</f>
        <v>-0.10534635051304582</v>
      </c>
      <c r="S259" s="16">
        <f t="shared" si="180"/>
        <v>2.9961423625679551E-4</v>
      </c>
      <c r="U259" s="23">
        <f t="shared" si="165"/>
        <v>0.86963703597624376</v>
      </c>
      <c r="V259" s="23">
        <f t="shared" ref="V259:V302" si="193">DEGREES(U259)</f>
        <v>49.826531869705299</v>
      </c>
      <c r="W259" s="23">
        <f t="shared" ref="W259:W302" si="194">$B$17 - U259</f>
        <v>3.0275900209210116E-3</v>
      </c>
      <c r="X259" s="23">
        <f t="shared" si="166"/>
        <v>4.9548933482107135E-2</v>
      </c>
      <c r="Y259" s="23">
        <f t="shared" si="167"/>
        <v>-2.9339282925699983E-3</v>
      </c>
      <c r="Z259" s="26">
        <f t="shared" ref="Z259:Z302" si="195">$B$25*W259+$B$26*X259+$B$27*Y259</f>
        <v>-0.10513837736459344</v>
      </c>
      <c r="AA259" s="23">
        <f t="shared" ref="AA259:AA302" si="196">DEGREES(Z259)</f>
        <v>-6.0239852878449911</v>
      </c>
      <c r="AB259" s="24">
        <f t="shared" si="168"/>
        <v>2.9057695280967355E-3</v>
      </c>
      <c r="AD259" s="33">
        <f t="shared" si="169"/>
        <v>0.87311725386353789</v>
      </c>
      <c r="AE259" s="33">
        <f t="shared" ref="AE259:AE302" si="197">DEGREES(AD259)</f>
        <v>50.02593366643319</v>
      </c>
      <c r="AF259" s="33">
        <f t="shared" ref="AF259:AF302" si="198">$B$17 - AD259</f>
        <v>-4.5262786637312313E-4</v>
      </c>
      <c r="AG259" s="33">
        <f t="shared" si="170"/>
        <v>5.3140252660866326E-2</v>
      </c>
      <c r="AH259" s="33">
        <f t="shared" si="171"/>
        <v>4.386253402821616E-4</v>
      </c>
      <c r="AI259" s="35">
        <f t="shared" si="181"/>
        <v>-0.10537744271568782</v>
      </c>
      <c r="AJ259" s="33">
        <f t="shared" ref="AJ259:AJ302" si="199">DEGREES(AI259)</f>
        <v>-6.0376827234905122</v>
      </c>
      <c r="AK259" s="37">
        <f t="shared" si="172"/>
        <v>-4.3441557561729738E-4</v>
      </c>
      <c r="AM259" s="41">
        <f t="shared" ref="AM259:AM302" si="200">AM258 + BC258*$B$11</f>
        <v>-4.7068980186036627E-2</v>
      </c>
      <c r="AN259" s="41">
        <f t="shared" ref="AN259:AN302" si="201">DEGREES(AM259)</f>
        <v>-2.6968539106447951</v>
      </c>
      <c r="AO259" s="42">
        <f t="shared" ref="AO259:AO302" si="202">$B$47 - AM259</f>
        <v>4.7068980186036627E-2</v>
      </c>
      <c r="AP259" s="41">
        <f t="shared" si="173"/>
        <v>-0.25620893194956745</v>
      </c>
      <c r="AQ259" s="41">
        <f t="shared" si="174"/>
        <v>-4.7306375391214378E-2</v>
      </c>
      <c r="AR259" s="43">
        <f t="shared" si="182"/>
        <v>0.42338342646915184</v>
      </c>
      <c r="AS259" s="41">
        <f t="shared" si="183"/>
        <v>24.258083452469826</v>
      </c>
      <c r="AU259" s="48">
        <f t="shared" si="175"/>
        <v>4.6838868477272338E-2</v>
      </c>
      <c r="AV259" s="48">
        <f t="shared" ref="AV259:AV302" si="203">DEGREES(AU259)</f>
        <v>2.6836694809160577</v>
      </c>
      <c r="AW259" s="49">
        <f t="shared" ref="AW259:AW302" si="204">AR259 - AU259</f>
        <v>0.37654455799187947</v>
      </c>
      <c r="AX259" s="48">
        <f t="shared" si="176"/>
        <v>-0.37402464541517827</v>
      </c>
      <c r="AY259" s="48">
        <f t="shared" si="177"/>
        <v>-0.37911342490886124</v>
      </c>
      <c r="AZ259" s="50">
        <f t="shared" ref="AZ259:AZ302" si="205">MIN(MAX($B$50*AW259+$B$51*AX259+$B$52*AY259,RADIANS(-21.5)),RADIANS(21.5))</f>
        <v>-3.1442580288580935E-3</v>
      </c>
      <c r="BA259" s="48">
        <f t="shared" ref="BA259:BA302" si="206">DEGREES(AZ259)</f>
        <v>-0.18015271475369216</v>
      </c>
      <c r="BB259" s="52">
        <f t="shared" si="178"/>
        <v>-4.6305121477621801E-2</v>
      </c>
      <c r="BC259" s="44">
        <f t="shared" ref="BC259:BC302" si="207">AU259</f>
        <v>4.6838868477272338E-2</v>
      </c>
    </row>
    <row r="260" spans="4:55" x14ac:dyDescent="0.3">
      <c r="D260">
        <f t="shared" ref="D260:D302" si="208">D259+$B$11</f>
        <v>2.579999999999989</v>
      </c>
      <c r="F260" s="5">
        <f t="shared" si="184"/>
        <v>0.86987507076451287</v>
      </c>
      <c r="G260" s="6">
        <f t="shared" si="185"/>
        <v>49.840170258450414</v>
      </c>
      <c r="I260" s="9">
        <f t="shared" si="186"/>
        <v>0.87005047854083017</v>
      </c>
      <c r="J260" s="9">
        <f t="shared" si="187"/>
        <v>49.850220383727169</v>
      </c>
      <c r="K260" s="9">
        <f t="shared" si="188"/>
        <v>-6.0359012715033646</v>
      </c>
      <c r="L260" s="9">
        <f t="shared" si="189"/>
        <v>-0.1053463505130459</v>
      </c>
      <c r="M260" s="11">
        <f t="shared" si="179"/>
        <v>5.8217156574398299E-3</v>
      </c>
      <c r="O260" s="15">
        <f t="shared" si="190"/>
        <v>0.8725330852023625</v>
      </c>
      <c r="P260" s="15">
        <f t="shared" si="191"/>
        <v>49.992463267624032</v>
      </c>
      <c r="Q260" s="15">
        <v>-6.0359012715033602</v>
      </c>
      <c r="R260" s="15">
        <f t="shared" si="192"/>
        <v>-0.10534635051304582</v>
      </c>
      <c r="S260" s="16">
        <f t="shared" si="180"/>
        <v>2.9294181658823248E-4</v>
      </c>
      <c r="U260" s="23">
        <f t="shared" ref="U260:U302" si="209">U259 + AB259*$B$11</f>
        <v>0.8696660936715247</v>
      </c>
      <c r="V260" s="23">
        <f t="shared" si="193"/>
        <v>49.828196753007276</v>
      </c>
      <c r="W260" s="23">
        <f t="shared" si="194"/>
        <v>2.9985323256400687E-3</v>
      </c>
      <c r="X260" s="23">
        <f t="shared" ref="X260:X302" si="210">X259+($B$11*W260)</f>
        <v>4.9578918805363539E-2</v>
      </c>
      <c r="Y260" s="23">
        <f t="shared" ref="Y260:Y302" si="211">(W260-W259)/$B$11</f>
        <v>-2.905769528094293E-3</v>
      </c>
      <c r="Z260" s="26">
        <f t="shared" si="195"/>
        <v>-0.10514037341436674</v>
      </c>
      <c r="AA260" s="23">
        <f t="shared" si="196"/>
        <v>-6.0240996530726996</v>
      </c>
      <c r="AB260" s="24">
        <f t="shared" ref="AB260:AB302" si="212">$B$4*$B$1*$B$2*$B$2*$B$5*$B$6*U260/(4*$B$3) + $B$4*$B$1*$B$2*$B$5*$B$5*$B$7*Z260/(2*$B$3)</f>
        <v>2.877881021096762E-3</v>
      </c>
      <c r="AD260" s="33">
        <f t="shared" ref="AD260:AD302" si="213">AD259 + AK259*$B$11</f>
        <v>0.87311290970778177</v>
      </c>
      <c r="AE260" s="33">
        <f t="shared" si="197"/>
        <v>50.025684764642818</v>
      </c>
      <c r="AF260" s="33">
        <f t="shared" si="198"/>
        <v>-4.4828371061700345E-4</v>
      </c>
      <c r="AG260" s="33">
        <f t="shared" ref="AG260:AG302" si="214">AG259+($B$11*AF260)</f>
        <v>5.3135769823760157E-2</v>
      </c>
      <c r="AH260" s="33">
        <f t="shared" ref="AH260:AH302" si="215">(AF260-AF259)/$B$11</f>
        <v>4.3441557561196831E-4</v>
      </c>
      <c r="AI260" s="35">
        <f t="shared" si="181"/>
        <v>-0.10537714430416437</v>
      </c>
      <c r="AJ260" s="33">
        <f t="shared" si="199"/>
        <v>-6.0376656257696606</v>
      </c>
      <c r="AK260" s="37">
        <f t="shared" ref="AK260:AK302" si="216">$B$4*$B$1*$B$2*$B$2*$B$5*$B$6*AD260/(4*$B$3) + $B$4*$B$1*$B$2*$B$5*$B$5*$B$7*AI260/(2*$B$3)</f>
        <v>-4.3024621473142233E-4</v>
      </c>
      <c r="AM260" s="41">
        <f t="shared" si="200"/>
        <v>-4.6600591501263902E-2</v>
      </c>
      <c r="AN260" s="41">
        <f t="shared" si="201"/>
        <v>-2.6700172158356343</v>
      </c>
      <c r="AO260" s="42">
        <f t="shared" si="202"/>
        <v>4.6600591501263902E-2</v>
      </c>
      <c r="AP260" s="41">
        <f t="shared" ref="AP260:AP302" si="217">AP259+($B$11*AO260)</f>
        <v>-0.25574292603455484</v>
      </c>
      <c r="AQ260" s="41">
        <f t="shared" ref="AQ260:AQ302" si="218">(AO260-AO259)/$B$11</f>
        <v>-4.6838868477272477E-2</v>
      </c>
      <c r="AR260" s="43">
        <f t="shared" si="182"/>
        <v>0.41916704653536652</v>
      </c>
      <c r="AS260" s="41">
        <f t="shared" si="183"/>
        <v>24.016502677440279</v>
      </c>
      <c r="AU260" s="48">
        <f t="shared" ref="AU260:AU302" si="219">AU259 + BB259*$B$11</f>
        <v>4.6375817262496122E-2</v>
      </c>
      <c r="AV260" s="48">
        <f t="shared" si="203"/>
        <v>2.657138600610975</v>
      </c>
      <c r="AW260" s="49">
        <f t="shared" si="204"/>
        <v>0.37279122927287039</v>
      </c>
      <c r="AX260" s="48">
        <f t="shared" ref="AX260:AX302" si="220">AX259+($B$11*AW260)</f>
        <v>-0.37029673312244954</v>
      </c>
      <c r="AY260" s="48">
        <f t="shared" ref="AY260:AY302" si="221">(AW260-AW259)/$B$11</f>
        <v>-0.37533287190090747</v>
      </c>
      <c r="AZ260" s="50">
        <f t="shared" si="205"/>
        <v>-3.1123279413371729E-3</v>
      </c>
      <c r="BA260" s="48">
        <f t="shared" si="206"/>
        <v>-0.17832325549926006</v>
      </c>
      <c r="BB260" s="52">
        <f t="shared" ref="BB260:BB302" si="222">$B$4*$B$1*$B$2*$B$2*$B$5*$B$6*AU260/(4*$B$3) + $B$4*$B$1*$B$2*$B$5*$B$5*$B$7*AZ260/(2*$B$3)</f>
        <v>-4.5862950350437477E-2</v>
      </c>
      <c r="BC260" s="44">
        <f t="shared" si="207"/>
        <v>4.6375817262496122E-2</v>
      </c>
    </row>
    <row r="261" spans="4:55" x14ac:dyDescent="0.3">
      <c r="D261">
        <f t="shared" si="208"/>
        <v>2.5899999999999888</v>
      </c>
      <c r="F261" s="5">
        <f t="shared" si="184"/>
        <v>0.86993650761888852</v>
      </c>
      <c r="G261" s="6">
        <f t="shared" si="185"/>
        <v>49.8436903309127</v>
      </c>
      <c r="I261" s="9">
        <f t="shared" si="186"/>
        <v>0.87010869569740457</v>
      </c>
      <c r="J261" s="9">
        <f t="shared" si="187"/>
        <v>49.853555981094132</v>
      </c>
      <c r="K261" s="9">
        <f t="shared" si="188"/>
        <v>-6.0359012715033646</v>
      </c>
      <c r="L261" s="9">
        <f t="shared" si="189"/>
        <v>-0.1053463505130459</v>
      </c>
      <c r="M261" s="11">
        <f t="shared" si="179"/>
        <v>5.6920658432566551E-3</v>
      </c>
      <c r="O261" s="15">
        <f t="shared" si="190"/>
        <v>0.87253601462052843</v>
      </c>
      <c r="P261" s="15">
        <f t="shared" si="191"/>
        <v>49.992631110921373</v>
      </c>
      <c r="Q261" s="15">
        <v>-6.0359012715033602</v>
      </c>
      <c r="R261" s="15">
        <f t="shared" si="192"/>
        <v>-0.10534635051304582</v>
      </c>
      <c r="S261" s="16">
        <f t="shared" si="180"/>
        <v>2.8641799194240036E-4</v>
      </c>
      <c r="U261" s="23">
        <f t="shared" si="209"/>
        <v>0.86969487248173571</v>
      </c>
      <c r="V261" s="23">
        <f t="shared" si="193"/>
        <v>49.829845657371777</v>
      </c>
      <c r="W261" s="23">
        <f t="shared" si="194"/>
        <v>2.9697535154290522E-3</v>
      </c>
      <c r="X261" s="23">
        <f t="shared" si="210"/>
        <v>4.960861634051783E-2</v>
      </c>
      <c r="Y261" s="23">
        <f t="shared" si="211"/>
        <v>-2.877881021101647E-3</v>
      </c>
      <c r="Z261" s="26">
        <f t="shared" si="195"/>
        <v>-0.10514235030678826</v>
      </c>
      <c r="AA261" s="23">
        <f t="shared" si="196"/>
        <v>-6.0242129206650032</v>
      </c>
      <c r="AB261" s="24">
        <f t="shared" si="212"/>
        <v>2.8502601777204983E-3</v>
      </c>
      <c r="AD261" s="33">
        <f t="shared" si="213"/>
        <v>0.87310860724563444</v>
      </c>
      <c r="AE261" s="33">
        <f t="shared" si="197"/>
        <v>50.02543825172026</v>
      </c>
      <c r="AF261" s="33">
        <f t="shared" si="198"/>
        <v>-4.4398124846967146E-4</v>
      </c>
      <c r="AG261" s="33">
        <f t="shared" si="214"/>
        <v>5.3131330011275457E-2</v>
      </c>
      <c r="AH261" s="33">
        <f t="shared" si="215"/>
        <v>4.3024621473319868E-4</v>
      </c>
      <c r="AI261" s="35">
        <f t="shared" si="181"/>
        <v>-0.10537684875668524</v>
      </c>
      <c r="AJ261" s="33">
        <f t="shared" si="199"/>
        <v>-6.03764869214646</v>
      </c>
      <c r="AK261" s="37">
        <f t="shared" si="216"/>
        <v>-4.2611686983251573E-4</v>
      </c>
      <c r="AM261" s="41">
        <f t="shared" si="200"/>
        <v>-4.6136833328638938E-2</v>
      </c>
      <c r="AN261" s="41">
        <f t="shared" si="201"/>
        <v>-2.6434458298295245</v>
      </c>
      <c r="AO261" s="42">
        <f t="shared" si="202"/>
        <v>4.6136833328638938E-2</v>
      </c>
      <c r="AP261" s="41">
        <f t="shared" si="217"/>
        <v>-0.25528155770126842</v>
      </c>
      <c r="AQ261" s="41">
        <f t="shared" si="218"/>
        <v>-4.6375817262496455E-2</v>
      </c>
      <c r="AR261" s="43">
        <f t="shared" si="182"/>
        <v>0.41499251602389292</v>
      </c>
      <c r="AS261" s="41">
        <f t="shared" si="183"/>
        <v>23.777319697684252</v>
      </c>
      <c r="AU261" s="48">
        <f t="shared" si="219"/>
        <v>4.591718775899175E-2</v>
      </c>
      <c r="AV261" s="48">
        <f t="shared" si="203"/>
        <v>2.6308610656999938</v>
      </c>
      <c r="AW261" s="49">
        <f t="shared" si="204"/>
        <v>0.36907532826490119</v>
      </c>
      <c r="AX261" s="48">
        <f t="shared" si="220"/>
        <v>-0.36660597983980053</v>
      </c>
      <c r="AY261" s="48">
        <f t="shared" si="221"/>
        <v>-0.37159010079692023</v>
      </c>
      <c r="AZ261" s="50">
        <f t="shared" si="205"/>
        <v>-3.0807463462167173E-3</v>
      </c>
      <c r="BA261" s="48">
        <f t="shared" si="206"/>
        <v>-0.176513763388567</v>
      </c>
      <c r="BB261" s="52">
        <f t="shared" si="222"/>
        <v>-4.5424197409601179E-2</v>
      </c>
      <c r="BC261" s="44">
        <f t="shared" si="207"/>
        <v>4.591718775899175E-2</v>
      </c>
    </row>
    <row r="262" spans="4:55" x14ac:dyDescent="0.3">
      <c r="D262">
        <f t="shared" si="208"/>
        <v>2.5999999999999885</v>
      </c>
      <c r="F262" s="5">
        <f t="shared" si="184"/>
        <v>0.86999659139481222</v>
      </c>
      <c r="G262" s="6">
        <f t="shared" si="185"/>
        <v>49.847132877690335</v>
      </c>
      <c r="I262" s="9">
        <f t="shared" si="186"/>
        <v>0.87016561635583711</v>
      </c>
      <c r="J262" s="9">
        <f t="shared" si="187"/>
        <v>49.856817294589426</v>
      </c>
      <c r="K262" s="9">
        <f t="shared" si="188"/>
        <v>-6.0359012715033646</v>
      </c>
      <c r="L262" s="9">
        <f t="shared" si="189"/>
        <v>-0.1053463505130459</v>
      </c>
      <c r="M262" s="11">
        <f t="shared" si="179"/>
        <v>5.5653033350344661E-3</v>
      </c>
      <c r="O262" s="15">
        <f t="shared" si="190"/>
        <v>0.87253887880044789</v>
      </c>
      <c r="P262" s="15">
        <f t="shared" si="191"/>
        <v>49.992795216342522</v>
      </c>
      <c r="Q262" s="15">
        <v>-6.0359012715033602</v>
      </c>
      <c r="R262" s="15">
        <f t="shared" si="192"/>
        <v>-0.10534635051304582</v>
      </c>
      <c r="S262" s="16">
        <f t="shared" si="180"/>
        <v>2.8003945310262068E-4</v>
      </c>
      <c r="U262" s="23">
        <f t="shared" si="209"/>
        <v>0.86972337508351294</v>
      </c>
      <c r="V262" s="23">
        <f t="shared" si="193"/>
        <v>49.831478736158751</v>
      </c>
      <c r="W262" s="23">
        <f t="shared" si="194"/>
        <v>2.9412509136518272E-3</v>
      </c>
      <c r="X262" s="23">
        <f t="shared" si="210"/>
        <v>4.9638028849654348E-2</v>
      </c>
      <c r="Y262" s="23">
        <f t="shared" si="211"/>
        <v>-2.8502601777224967E-3</v>
      </c>
      <c r="Z262" s="26">
        <f t="shared" si="195"/>
        <v>-0.10514430822572374</v>
      </c>
      <c r="AA262" s="23">
        <f t="shared" si="196"/>
        <v>-6.0243251011566352</v>
      </c>
      <c r="AB262" s="24">
        <f t="shared" si="212"/>
        <v>2.8229044290419836E-3</v>
      </c>
      <c r="AD262" s="33">
        <f t="shared" si="213"/>
        <v>0.8731043460769361</v>
      </c>
      <c r="AE262" s="33">
        <f t="shared" si="197"/>
        <v>50.025194104738056</v>
      </c>
      <c r="AF262" s="33">
        <f t="shared" si="198"/>
        <v>-4.3972007977133298E-4</v>
      </c>
      <c r="AG262" s="33">
        <f t="shared" si="214"/>
        <v>5.3126932810477742E-2</v>
      </c>
      <c r="AH262" s="33">
        <f t="shared" si="215"/>
        <v>4.26116869833848E-4</v>
      </c>
      <c r="AI262" s="35">
        <f t="shared" si="181"/>
        <v>-0.10537655604576199</v>
      </c>
      <c r="AJ262" s="33">
        <f t="shared" si="199"/>
        <v>-6.037631921045941</v>
      </c>
      <c r="AK262" s="37">
        <f t="shared" si="216"/>
        <v>-4.2202715686845416E-4</v>
      </c>
      <c r="AM262" s="41">
        <f t="shared" si="200"/>
        <v>-4.5677661451049019E-2</v>
      </c>
      <c r="AN262" s="41">
        <f t="shared" si="201"/>
        <v>-2.6171372191725246</v>
      </c>
      <c r="AO262" s="42">
        <f t="shared" si="202"/>
        <v>4.5677661451049019E-2</v>
      </c>
      <c r="AP262" s="41">
        <f t="shared" si="217"/>
        <v>-0.25482478108675793</v>
      </c>
      <c r="AQ262" s="41">
        <f t="shared" si="218"/>
        <v>-4.5917187758991868E-2</v>
      </c>
      <c r="AR262" s="43">
        <f t="shared" si="182"/>
        <v>0.41085942675149834</v>
      </c>
      <c r="AS262" s="41">
        <f t="shared" si="183"/>
        <v>23.540511126025244</v>
      </c>
      <c r="AU262" s="48">
        <f t="shared" si="219"/>
        <v>4.5462945784895736E-2</v>
      </c>
      <c r="AV262" s="48">
        <f t="shared" si="203"/>
        <v>2.6048349177066017</v>
      </c>
      <c r="AW262" s="49">
        <f t="shared" si="204"/>
        <v>0.3653964809666026</v>
      </c>
      <c r="AX262" s="48">
        <f t="shared" si="220"/>
        <v>-0.36295201503013452</v>
      </c>
      <c r="AY262" s="48">
        <f t="shared" si="221"/>
        <v>-0.36788472982985931</v>
      </c>
      <c r="AZ262" s="50">
        <f t="shared" si="205"/>
        <v>-3.0495082237868565E-3</v>
      </c>
      <c r="BA262" s="48">
        <f t="shared" si="206"/>
        <v>-0.17472395081342304</v>
      </c>
      <c r="BB262" s="52">
        <f t="shared" si="222"/>
        <v>-4.498887913548185E-2</v>
      </c>
      <c r="BC262" s="44">
        <f t="shared" si="207"/>
        <v>4.5462945784895736E-2</v>
      </c>
    </row>
    <row r="263" spans="4:55" x14ac:dyDescent="0.3">
      <c r="D263">
        <f t="shared" si="208"/>
        <v>2.6099999999999883</v>
      </c>
      <c r="F263" s="5">
        <f t="shared" si="184"/>
        <v>0.87005535189233352</v>
      </c>
      <c r="G263" s="6">
        <f t="shared" si="185"/>
        <v>49.850499606200394</v>
      </c>
      <c r="I263" s="9">
        <f t="shared" si="186"/>
        <v>0.87022126938918742</v>
      </c>
      <c r="J263" s="9">
        <f t="shared" si="187"/>
        <v>49.860005978517499</v>
      </c>
      <c r="K263" s="9">
        <f t="shared" si="188"/>
        <v>-6.0359012715033646</v>
      </c>
      <c r="L263" s="9">
        <f t="shared" si="189"/>
        <v>-0.1053463505130459</v>
      </c>
      <c r="M263" s="11">
        <f t="shared" si="179"/>
        <v>5.4413638323662639E-3</v>
      </c>
      <c r="O263" s="15">
        <f t="shared" si="190"/>
        <v>0.87254167919497894</v>
      </c>
      <c r="P263" s="15">
        <f t="shared" si="191"/>
        <v>49.992955667130126</v>
      </c>
      <c r="Q263" s="15">
        <v>-6.0359012715033602</v>
      </c>
      <c r="R263" s="15">
        <f t="shared" si="192"/>
        <v>-0.10534635051304582</v>
      </c>
      <c r="S263" s="16">
        <f t="shared" si="180"/>
        <v>2.7380296454948549E-4</v>
      </c>
      <c r="U263" s="23">
        <f t="shared" si="209"/>
        <v>0.86975160412780339</v>
      </c>
      <c r="V263" s="23">
        <f t="shared" si="193"/>
        <v>49.833096141256284</v>
      </c>
      <c r="W263" s="23">
        <f t="shared" si="194"/>
        <v>2.9130218693613763E-3</v>
      </c>
      <c r="X263" s="23">
        <f t="shared" si="210"/>
        <v>4.9667159068347962E-2</v>
      </c>
      <c r="Y263" s="23">
        <f t="shared" si="211"/>
        <v>-2.8229044290450922E-3</v>
      </c>
      <c r="Z263" s="26">
        <f t="shared" si="195"/>
        <v>-0.10514624735327345</v>
      </c>
      <c r="AA263" s="23">
        <f t="shared" si="196"/>
        <v>-6.0244362049811713</v>
      </c>
      <c r="AB263" s="24">
        <f t="shared" si="212"/>
        <v>2.7958112307748806E-3</v>
      </c>
      <c r="AD263" s="33">
        <f t="shared" si="213"/>
        <v>0.87310012580536744</v>
      </c>
      <c r="AE263" s="33">
        <f t="shared" si="197"/>
        <v>50.024952300988772</v>
      </c>
      <c r="AF263" s="33">
        <f t="shared" si="198"/>
        <v>-4.3549980820267731E-4</v>
      </c>
      <c r="AG263" s="33">
        <f t="shared" si="214"/>
        <v>5.3122577812395717E-2</v>
      </c>
      <c r="AH263" s="33">
        <f t="shared" si="215"/>
        <v>4.2202715686556758E-4</v>
      </c>
      <c r="AI263" s="35">
        <f t="shared" si="181"/>
        <v>-0.10537626614417041</v>
      </c>
      <c r="AJ263" s="33">
        <f t="shared" si="199"/>
        <v>-6.0376153109082695</v>
      </c>
      <c r="AK263" s="37">
        <f t="shared" si="216"/>
        <v>-4.1797669546661531E-4</v>
      </c>
      <c r="AM263" s="41">
        <f t="shared" si="200"/>
        <v>-4.5223031993200061E-2</v>
      </c>
      <c r="AN263" s="41">
        <f t="shared" si="201"/>
        <v>-2.5910888699954584</v>
      </c>
      <c r="AO263" s="42">
        <f t="shared" si="202"/>
        <v>4.5223031993200061E-2</v>
      </c>
      <c r="AP263" s="41">
        <f t="shared" si="217"/>
        <v>-0.25437255076682591</v>
      </c>
      <c r="AQ263" s="41">
        <f t="shared" si="218"/>
        <v>-4.546294578489582E-2</v>
      </c>
      <c r="AR263" s="43">
        <f t="shared" si="182"/>
        <v>0.40676737414710473</v>
      </c>
      <c r="AS263" s="41">
        <f t="shared" si="183"/>
        <v>23.306053782247975</v>
      </c>
      <c r="AU263" s="48">
        <f t="shared" si="219"/>
        <v>4.5013056993540919E-2</v>
      </c>
      <c r="AV263" s="48">
        <f t="shared" si="203"/>
        <v>2.5790581887117288</v>
      </c>
      <c r="AW263" s="49">
        <f t="shared" si="204"/>
        <v>0.36175431715356382</v>
      </c>
      <c r="AX263" s="48">
        <f t="shared" si="220"/>
        <v>-0.3593344718585989</v>
      </c>
      <c r="AY263" s="48">
        <f t="shared" si="221"/>
        <v>-0.3642163813038779</v>
      </c>
      <c r="AZ263" s="50">
        <f t="shared" si="205"/>
        <v>-3.0186086834104453E-3</v>
      </c>
      <c r="BA263" s="48">
        <f t="shared" si="206"/>
        <v>-0.1729535375609606</v>
      </c>
      <c r="BB263" s="52">
        <f t="shared" si="222"/>
        <v>-4.4557009260299166E-2</v>
      </c>
      <c r="BC263" s="44">
        <f t="shared" si="207"/>
        <v>4.5013056993540919E-2</v>
      </c>
    </row>
    <row r="264" spans="4:55" x14ac:dyDescent="0.3">
      <c r="D264">
        <f t="shared" si="208"/>
        <v>2.6199999999999881</v>
      </c>
      <c r="F264" s="5">
        <f t="shared" si="184"/>
        <v>0.87011281825518882</v>
      </c>
      <c r="G264" s="6">
        <f t="shared" si="185"/>
        <v>49.853792186255973</v>
      </c>
      <c r="I264" s="9">
        <f t="shared" si="186"/>
        <v>0.87027568302751113</v>
      </c>
      <c r="J264" s="9">
        <f t="shared" si="187"/>
        <v>49.8631236503414</v>
      </c>
      <c r="K264" s="9">
        <f t="shared" si="188"/>
        <v>-6.0359012715033646</v>
      </c>
      <c r="L264" s="9">
        <f t="shared" si="189"/>
        <v>-0.1053463505130459</v>
      </c>
      <c r="M264" s="11">
        <f t="shared" si="179"/>
        <v>5.3201844668180343E-3</v>
      </c>
      <c r="O264" s="15">
        <f t="shared" si="190"/>
        <v>0.87254441722462439</v>
      </c>
      <c r="P264" s="15">
        <f t="shared" si="191"/>
        <v>49.993112544672989</v>
      </c>
      <c r="Q264" s="15">
        <v>-6.0359012715033602</v>
      </c>
      <c r="R264" s="15">
        <f t="shared" si="192"/>
        <v>-0.10534635051304582</v>
      </c>
      <c r="S264" s="16">
        <f t="shared" si="180"/>
        <v>2.6770536281750523E-4</v>
      </c>
      <c r="U264" s="23">
        <f t="shared" si="209"/>
        <v>0.8697795622401111</v>
      </c>
      <c r="V264" s="23">
        <f t="shared" si="193"/>
        <v>49.834698023094667</v>
      </c>
      <c r="W264" s="23">
        <f t="shared" si="194"/>
        <v>2.885063757053663E-3</v>
      </c>
      <c r="X264" s="23">
        <f t="shared" si="210"/>
        <v>4.9696009705918497E-2</v>
      </c>
      <c r="Y264" s="23">
        <f t="shared" si="211"/>
        <v>-2.7958112307713279E-3</v>
      </c>
      <c r="Z264" s="26">
        <f t="shared" si="195"/>
        <v>-0.10514816786979046</v>
      </c>
      <c r="AA264" s="23">
        <f t="shared" si="196"/>
        <v>-6.0245462424720815</v>
      </c>
      <c r="AB264" s="24">
        <f t="shared" si="212"/>
        <v>2.7689780630615335E-3</v>
      </c>
      <c r="AD264" s="33">
        <f t="shared" si="213"/>
        <v>0.87309594603841278</v>
      </c>
      <c r="AE264" s="33">
        <f t="shared" si="197"/>
        <v>50.024712817982923</v>
      </c>
      <c r="AF264" s="33">
        <f t="shared" si="198"/>
        <v>-4.3132004124801782E-4</v>
      </c>
      <c r="AG264" s="33">
        <f t="shared" si="214"/>
        <v>5.311826461198324E-2</v>
      </c>
      <c r="AH264" s="33">
        <f t="shared" si="215"/>
        <v>4.1797669546594918E-4</v>
      </c>
      <c r="AI264" s="35">
        <f t="shared" si="181"/>
        <v>-0.10537597902494777</v>
      </c>
      <c r="AJ264" s="33">
        <f t="shared" si="199"/>
        <v>-6.037598860188595</v>
      </c>
      <c r="AK264" s="37">
        <f t="shared" si="216"/>
        <v>-4.139651089012375E-4</v>
      </c>
      <c r="AM264" s="41">
        <f t="shared" si="200"/>
        <v>-4.4772901423264649E-2</v>
      </c>
      <c r="AN264" s="41">
        <f t="shared" si="201"/>
        <v>-2.565298288108341</v>
      </c>
      <c r="AO264" s="42">
        <f t="shared" si="202"/>
        <v>4.4772901423264649E-2</v>
      </c>
      <c r="AP264" s="41">
        <f t="shared" si="217"/>
        <v>-0.25392482175259329</v>
      </c>
      <c r="AQ264" s="41">
        <f t="shared" si="218"/>
        <v>-4.5013056993541134E-2</v>
      </c>
      <c r="AR264" s="43">
        <f t="shared" si="182"/>
        <v>0.40271595723910536</v>
      </c>
      <c r="AS264" s="41">
        <f t="shared" si="183"/>
        <v>23.073924692371669</v>
      </c>
      <c r="AU264" s="48">
        <f t="shared" si="219"/>
        <v>4.4567486900937925E-2</v>
      </c>
      <c r="AV264" s="48">
        <f t="shared" si="203"/>
        <v>2.5535289029283241</v>
      </c>
      <c r="AW264" s="49">
        <f t="shared" si="204"/>
        <v>0.35814847033816744</v>
      </c>
      <c r="AX264" s="48">
        <f t="shared" si="220"/>
        <v>-0.35575298715521725</v>
      </c>
      <c r="AY264" s="48">
        <f t="shared" si="221"/>
        <v>-0.36058468153963852</v>
      </c>
      <c r="AZ264" s="50">
        <f t="shared" si="205"/>
        <v>-2.9880429582021806E-3</v>
      </c>
      <c r="BA264" s="48">
        <f t="shared" si="206"/>
        <v>-0.17120225050877039</v>
      </c>
      <c r="BB264" s="52">
        <f t="shared" si="222"/>
        <v>-4.4128598927484435E-2</v>
      </c>
      <c r="BC264" s="44">
        <f t="shared" si="207"/>
        <v>4.4567486900937925E-2</v>
      </c>
    </row>
    <row r="265" spans="4:55" x14ac:dyDescent="0.3">
      <c r="D265">
        <f t="shared" si="208"/>
        <v>2.6299999999999879</v>
      </c>
      <c r="F265" s="5">
        <f t="shared" si="184"/>
        <v>0.87016901898525623</v>
      </c>
      <c r="G265" s="6">
        <f t="shared" si="185"/>
        <v>49.857012250894385</v>
      </c>
      <c r="I265" s="9">
        <f t="shared" si="186"/>
        <v>0.8703288848721793</v>
      </c>
      <c r="J265" s="9">
        <f t="shared" si="187"/>
        <v>49.866171891503193</v>
      </c>
      <c r="K265" s="9">
        <f t="shared" si="188"/>
        <v>-6.0359012715033646</v>
      </c>
      <c r="L265" s="9">
        <f t="shared" si="189"/>
        <v>-0.1053463505130459</v>
      </c>
      <c r="M265" s="11">
        <f t="shared" si="179"/>
        <v>5.2017037700391455E-3</v>
      </c>
      <c r="O265" s="15">
        <f t="shared" si="190"/>
        <v>0.87254709427825261</v>
      </c>
      <c r="P265" s="15">
        <f t="shared" si="191"/>
        <v>49.993265928547416</v>
      </c>
      <c r="Q265" s="15">
        <v>-6.0359012715033602</v>
      </c>
      <c r="R265" s="15">
        <f t="shared" si="192"/>
        <v>-0.10534635051304582</v>
      </c>
      <c r="S265" s="16">
        <f t="shared" si="180"/>
        <v>2.6174355489216872E-4</v>
      </c>
      <c r="U265" s="23">
        <f t="shared" si="209"/>
        <v>0.86980725202074172</v>
      </c>
      <c r="V265" s="23">
        <f t="shared" si="193"/>
        <v>49.836284530660443</v>
      </c>
      <c r="W265" s="23">
        <f t="shared" si="194"/>
        <v>2.8573739764230499E-3</v>
      </c>
      <c r="X265" s="23">
        <f t="shared" si="210"/>
        <v>4.972458344568273E-2</v>
      </c>
      <c r="Y265" s="23">
        <f t="shared" si="211"/>
        <v>-2.7689780630613114E-3</v>
      </c>
      <c r="Z265" s="26">
        <f t="shared" si="195"/>
        <v>-0.10515006995389625</v>
      </c>
      <c r="AA265" s="23">
        <f t="shared" si="196"/>
        <v>-6.024655223863622</v>
      </c>
      <c r="AB265" s="24">
        <f t="shared" si="212"/>
        <v>2.7424024302180605E-3</v>
      </c>
      <c r="AD265" s="33">
        <f t="shared" si="213"/>
        <v>0.87309180638732375</v>
      </c>
      <c r="AE265" s="33">
        <f t="shared" si="197"/>
        <v>50.024475633446862</v>
      </c>
      <c r="AF265" s="33">
        <f t="shared" si="198"/>
        <v>-4.2718039015898768E-4</v>
      </c>
      <c r="AG265" s="33">
        <f t="shared" si="214"/>
        <v>5.3113992808081649E-2</v>
      </c>
      <c r="AH265" s="33">
        <f t="shared" si="215"/>
        <v>4.1396510890301386E-4</v>
      </c>
      <c r="AI265" s="35">
        <f t="shared" si="181"/>
        <v>-0.10537569466138984</v>
      </c>
      <c r="AJ265" s="33">
        <f t="shared" si="199"/>
        <v>-6.0375825673568784</v>
      </c>
      <c r="AK265" s="37">
        <f t="shared" si="216"/>
        <v>-4.0999202406766244E-4</v>
      </c>
      <c r="AM265" s="41">
        <f t="shared" si="200"/>
        <v>-4.4327226554255271E-2</v>
      </c>
      <c r="AN265" s="41">
        <f t="shared" si="201"/>
        <v>-2.5397629990790578</v>
      </c>
      <c r="AO265" s="42">
        <f t="shared" si="202"/>
        <v>4.4327226554255271E-2</v>
      </c>
      <c r="AP265" s="41">
        <f t="shared" si="217"/>
        <v>-0.25348154948705076</v>
      </c>
      <c r="AQ265" s="41">
        <f t="shared" si="218"/>
        <v>-4.4567486900937842E-2</v>
      </c>
      <c r="AR265" s="43">
        <f t="shared" si="182"/>
        <v>0.39870477864161491</v>
      </c>
      <c r="AS265" s="41">
        <f t="shared" si="183"/>
        <v>22.844101087862263</v>
      </c>
      <c r="AU265" s="48">
        <f t="shared" si="219"/>
        <v>4.4126200911663083E-2</v>
      </c>
      <c r="AV265" s="48">
        <f t="shared" si="203"/>
        <v>2.5282450781846202</v>
      </c>
      <c r="AW265" s="49">
        <f t="shared" si="204"/>
        <v>0.35457857772995183</v>
      </c>
      <c r="AX265" s="48">
        <f t="shared" si="220"/>
        <v>-0.35220720137791772</v>
      </c>
      <c r="AY265" s="48">
        <f t="shared" si="221"/>
        <v>-0.35698926082156079</v>
      </c>
      <c r="AZ265" s="50">
        <f t="shared" si="205"/>
        <v>-2.9578063999604054E-3</v>
      </c>
      <c r="BA265" s="48">
        <f t="shared" si="206"/>
        <v>-0.16946982333451518</v>
      </c>
      <c r="BB265" s="52">
        <f t="shared" si="222"/>
        <v>-4.3703656842831014E-2</v>
      </c>
      <c r="BC265" s="44">
        <f t="shared" si="207"/>
        <v>4.4126200911663083E-2</v>
      </c>
    </row>
    <row r="266" spans="4:55" x14ac:dyDescent="0.3">
      <c r="D266">
        <f t="shared" si="208"/>
        <v>2.6399999999999877</v>
      </c>
      <c r="F266" s="5">
        <f t="shared" si="184"/>
        <v>0.87022398195669148</v>
      </c>
      <c r="G266" s="6">
        <f t="shared" si="185"/>
        <v>49.860161397187127</v>
      </c>
      <c r="I266" s="9">
        <f t="shared" si="186"/>
        <v>0.87038090190987971</v>
      </c>
      <c r="J266" s="9">
        <f t="shared" si="187"/>
        <v>49.8691522482262</v>
      </c>
      <c r="K266" s="9">
        <f t="shared" si="188"/>
        <v>-6.0359012715033646</v>
      </c>
      <c r="L266" s="9">
        <f t="shared" si="189"/>
        <v>-0.1053463505130459</v>
      </c>
      <c r="M266" s="11">
        <f t="shared" si="179"/>
        <v>5.0858616425799585E-3</v>
      </c>
      <c r="O266" s="15">
        <f t="shared" si="190"/>
        <v>0.87254971171380158</v>
      </c>
      <c r="P266" s="15">
        <f t="shared" si="191"/>
        <v>49.993415896557522</v>
      </c>
      <c r="Q266" s="15">
        <v>-6.0359012715033602</v>
      </c>
      <c r="R266" s="15">
        <f t="shared" si="192"/>
        <v>-0.10534635051304582</v>
      </c>
      <c r="S266" s="16">
        <f t="shared" si="180"/>
        <v>2.5591451664075393E-4</v>
      </c>
      <c r="U266" s="23">
        <f t="shared" si="209"/>
        <v>0.86983467604504394</v>
      </c>
      <c r="V266" s="23">
        <f t="shared" si="193"/>
        <v>49.837855811510231</v>
      </c>
      <c r="W266" s="23">
        <f t="shared" si="194"/>
        <v>2.8299499521208249E-3</v>
      </c>
      <c r="X266" s="23">
        <f t="shared" si="210"/>
        <v>4.9752882945203941E-2</v>
      </c>
      <c r="Y266" s="23">
        <f t="shared" si="211"/>
        <v>-2.7424024302225014E-3</v>
      </c>
      <c r="Z266" s="26">
        <f t="shared" si="195"/>
        <v>-0.10515195378249842</v>
      </c>
      <c r="AA266" s="23">
        <f t="shared" si="196"/>
        <v>-6.0247631592918518</v>
      </c>
      <c r="AB266" s="24">
        <f t="shared" si="212"/>
        <v>2.7160818605207471E-3</v>
      </c>
      <c r="AD266" s="33">
        <f t="shared" si="213"/>
        <v>0.87308770646708311</v>
      </c>
      <c r="AE266" s="33">
        <f t="shared" si="197"/>
        <v>50.02424072532073</v>
      </c>
      <c r="AF266" s="33">
        <f t="shared" si="198"/>
        <v>-4.2308046991834658E-4</v>
      </c>
      <c r="AG266" s="33">
        <f t="shared" si="214"/>
        <v>5.3109762003382466E-2</v>
      </c>
      <c r="AH266" s="33">
        <f t="shared" si="215"/>
        <v>4.0999202406410973E-4</v>
      </c>
      <c r="AI266" s="35">
        <f t="shared" si="181"/>
        <v>-0.10537541302704856</v>
      </c>
      <c r="AJ266" s="33">
        <f t="shared" si="199"/>
        <v>-6.0375664308977566</v>
      </c>
      <c r="AK266" s="37">
        <f t="shared" si="216"/>
        <v>-4.060570714441436E-4</v>
      </c>
      <c r="AM266" s="41">
        <f t="shared" si="200"/>
        <v>-4.3885964545138642E-2</v>
      </c>
      <c r="AN266" s="41">
        <f t="shared" si="201"/>
        <v>-2.5144805482972119</v>
      </c>
      <c r="AO266" s="42">
        <f t="shared" si="202"/>
        <v>4.3885964545138642E-2</v>
      </c>
      <c r="AP266" s="41">
        <f t="shared" si="217"/>
        <v>-0.25304268984159939</v>
      </c>
      <c r="AQ266" s="41">
        <f t="shared" si="218"/>
        <v>-4.4126200911662888E-2</v>
      </c>
      <c r="AR266" s="43">
        <f t="shared" si="182"/>
        <v>0.39473344453972359</v>
      </c>
      <c r="AS266" s="41">
        <f t="shared" si="183"/>
        <v>22.616560404787514</v>
      </c>
      <c r="AU266" s="48">
        <f t="shared" si="219"/>
        <v>4.368916434323477E-2</v>
      </c>
      <c r="AV266" s="48">
        <f t="shared" si="203"/>
        <v>2.5032047273207976</v>
      </c>
      <c r="AW266" s="49">
        <f t="shared" si="204"/>
        <v>0.35104428019648881</v>
      </c>
      <c r="AX266" s="48">
        <f t="shared" si="220"/>
        <v>-0.34869675857595284</v>
      </c>
      <c r="AY266" s="48">
        <f t="shared" si="221"/>
        <v>-0.35342975334630156</v>
      </c>
      <c r="AZ266" s="50">
        <f t="shared" si="205"/>
        <v>-2.9278944743404423E-3</v>
      </c>
      <c r="BA266" s="48">
        <f t="shared" si="206"/>
        <v>-0.16775599623938206</v>
      </c>
      <c r="BB266" s="52">
        <f t="shared" si="222"/>
        <v>-4.3282189417822775E-2</v>
      </c>
      <c r="BC266" s="44">
        <f t="shared" si="207"/>
        <v>4.368916434323477E-2</v>
      </c>
    </row>
    <row r="267" spans="4:55" x14ac:dyDescent="0.3">
      <c r="D267">
        <f t="shared" si="208"/>
        <v>2.6499999999999875</v>
      </c>
      <c r="F267" s="5">
        <f t="shared" si="184"/>
        <v>0.8702777344297532</v>
      </c>
      <c r="G267" s="6">
        <f t="shared" si="185"/>
        <v>49.863241187031953</v>
      </c>
      <c r="I267" s="9">
        <f t="shared" si="186"/>
        <v>0.87043176052630555</v>
      </c>
      <c r="J267" s="9">
        <f t="shared" si="187"/>
        <v>49.872066232299275</v>
      </c>
      <c r="K267" s="9">
        <f t="shared" si="188"/>
        <v>-6.0359012715033646</v>
      </c>
      <c r="L267" s="9">
        <f t="shared" si="189"/>
        <v>-0.1053463505130459</v>
      </c>
      <c r="M267" s="11">
        <f t="shared" si="179"/>
        <v>4.972599323407767E-3</v>
      </c>
      <c r="O267" s="15">
        <f t="shared" si="190"/>
        <v>0.87255227085896803</v>
      </c>
      <c r="P267" s="15">
        <f t="shared" si="191"/>
        <v>49.993562524774717</v>
      </c>
      <c r="Q267" s="15">
        <v>-6.0359012715033602</v>
      </c>
      <c r="R267" s="15">
        <f t="shared" si="192"/>
        <v>-0.10534635051304582</v>
      </c>
      <c r="S267" s="16">
        <f t="shared" si="180"/>
        <v>2.5021529127777775E-4</v>
      </c>
      <c r="U267" s="23">
        <f t="shared" si="209"/>
        <v>0.86986183686364915</v>
      </c>
      <c r="V267" s="23">
        <f t="shared" si="193"/>
        <v>49.839412011784425</v>
      </c>
      <c r="W267" s="23">
        <f t="shared" si="194"/>
        <v>2.8027891335156152E-3</v>
      </c>
      <c r="X267" s="23">
        <f t="shared" si="210"/>
        <v>4.97809108365391E-2</v>
      </c>
      <c r="Y267" s="23">
        <f t="shared" si="211"/>
        <v>-2.7160818605209691E-3</v>
      </c>
      <c r="Z267" s="26">
        <f t="shared" si="195"/>
        <v>-0.10515381953080682</v>
      </c>
      <c r="AA267" s="23">
        <f t="shared" si="196"/>
        <v>-6.0248700587955577</v>
      </c>
      <c r="AB267" s="24">
        <f t="shared" si="212"/>
        <v>2.6900139059720107E-3</v>
      </c>
      <c r="AD267" s="33">
        <f t="shared" si="213"/>
        <v>0.87308364589636867</v>
      </c>
      <c r="AE267" s="33">
        <f t="shared" si="197"/>
        <v>50.024008071756384</v>
      </c>
      <c r="AF267" s="33">
        <f t="shared" si="198"/>
        <v>-4.1901989920389848E-4</v>
      </c>
      <c r="AG267" s="33">
        <f t="shared" si="214"/>
        <v>5.3105571804390427E-2</v>
      </c>
      <c r="AH267" s="33">
        <f t="shared" si="215"/>
        <v>4.0605707144480974E-4</v>
      </c>
      <c r="AI267" s="35">
        <f t="shared" si="181"/>
        <v>-0.10537513409573028</v>
      </c>
      <c r="AJ267" s="33">
        <f t="shared" si="199"/>
        <v>-6.0375504493104453</v>
      </c>
      <c r="AK267" s="37">
        <f t="shared" si="216"/>
        <v>-4.021598850441066E-4</v>
      </c>
      <c r="AM267" s="41">
        <f t="shared" si="200"/>
        <v>-4.3449072901706291E-2</v>
      </c>
      <c r="AN267" s="41">
        <f t="shared" si="201"/>
        <v>-2.4894485010240035</v>
      </c>
      <c r="AO267" s="42">
        <f t="shared" si="202"/>
        <v>4.3449072901706291E-2</v>
      </c>
      <c r="AP267" s="41">
        <f t="shared" si="217"/>
        <v>-0.25260819911258231</v>
      </c>
      <c r="AQ267" s="41">
        <f t="shared" si="218"/>
        <v>-4.3689164343235082E-2</v>
      </c>
      <c r="AR267" s="43">
        <f t="shared" si="182"/>
        <v>0.39080156467382787</v>
      </c>
      <c r="AS267" s="41">
        <f t="shared" si="183"/>
        <v>22.391280282919222</v>
      </c>
      <c r="AU267" s="48">
        <f t="shared" si="219"/>
        <v>4.3256342449056545E-2</v>
      </c>
      <c r="AV267" s="48">
        <f t="shared" si="203"/>
        <v>2.4784058595035274</v>
      </c>
      <c r="AW267" s="49">
        <f t="shared" si="204"/>
        <v>0.34754522222477136</v>
      </c>
      <c r="AX267" s="48">
        <f t="shared" si="220"/>
        <v>-0.34522130635370513</v>
      </c>
      <c r="AY267" s="48">
        <f t="shared" si="221"/>
        <v>-0.34990579717174564</v>
      </c>
      <c r="AZ267" s="50">
        <f t="shared" si="205"/>
        <v>-2.8983027562737296E-3</v>
      </c>
      <c r="BA267" s="48">
        <f t="shared" si="206"/>
        <v>-0.16606051568561839</v>
      </c>
      <c r="BB267" s="52">
        <f t="shared" si="222"/>
        <v>-4.2864200905236259E-2</v>
      </c>
      <c r="BC267" s="44">
        <f t="shared" si="207"/>
        <v>4.3256342449056545E-2</v>
      </c>
    </row>
    <row r="268" spans="4:55" x14ac:dyDescent="0.3">
      <c r="D268">
        <f t="shared" si="208"/>
        <v>2.6599999999999873</v>
      </c>
      <c r="F268" s="5">
        <f t="shared" si="184"/>
        <v>0.87033030306432291</v>
      </c>
      <c r="G268" s="6">
        <f t="shared" si="185"/>
        <v>49.866253147927559</v>
      </c>
      <c r="I268" s="9">
        <f t="shared" si="186"/>
        <v>0.8704814865195396</v>
      </c>
      <c r="J268" s="9">
        <f t="shared" si="187"/>
        <v>49.87491532184368</v>
      </c>
      <c r="K268" s="9">
        <f t="shared" si="188"/>
        <v>-6.0359012715033646</v>
      </c>
      <c r="L268" s="9">
        <f t="shared" si="189"/>
        <v>-0.1053463505130459</v>
      </c>
      <c r="M268" s="11">
        <f t="shared" si="179"/>
        <v>4.861859360101306E-3</v>
      </c>
      <c r="O268" s="15">
        <f t="shared" si="190"/>
        <v>0.87255477301188078</v>
      </c>
      <c r="P268" s="15">
        <f t="shared" si="191"/>
        <v>49.993705887576319</v>
      </c>
      <c r="Q268" s="15">
        <v>-6.0359012715033602</v>
      </c>
      <c r="R268" s="15">
        <f t="shared" si="192"/>
        <v>-0.10534635051304582</v>
      </c>
      <c r="S268" s="16">
        <f t="shared" si="180"/>
        <v>2.4464298786641692E-4</v>
      </c>
      <c r="U268" s="23">
        <f t="shared" si="209"/>
        <v>0.86988873700270886</v>
      </c>
      <c r="V268" s="23">
        <f t="shared" si="193"/>
        <v>49.840953276220866</v>
      </c>
      <c r="W268" s="23">
        <f t="shared" si="194"/>
        <v>2.7758889944559106E-3</v>
      </c>
      <c r="X268" s="23">
        <f t="shared" si="210"/>
        <v>4.9808669726483658E-2</v>
      </c>
      <c r="Y268" s="23">
        <f t="shared" si="211"/>
        <v>-2.6900139059704564E-3</v>
      </c>
      <c r="Z268" s="26">
        <f t="shared" si="195"/>
        <v>-0.10515566737234928</v>
      </c>
      <c r="AA268" s="23">
        <f t="shared" si="196"/>
        <v>-6.0249759323171492</v>
      </c>
      <c r="AB268" s="24">
        <f t="shared" si="212"/>
        <v>2.6641961420608151E-3</v>
      </c>
      <c r="AD268" s="33">
        <f t="shared" si="213"/>
        <v>0.87307962429751818</v>
      </c>
      <c r="AE268" s="33">
        <f t="shared" si="197"/>
        <v>50.023777651115353</v>
      </c>
      <c r="AF268" s="33">
        <f t="shared" si="198"/>
        <v>-4.1499830035340857E-4</v>
      </c>
      <c r="AG268" s="33">
        <f t="shared" si="214"/>
        <v>5.3101421821386892E-2</v>
      </c>
      <c r="AH268" s="33">
        <f t="shared" si="215"/>
        <v>4.0215988504899158E-4</v>
      </c>
      <c r="AI268" s="35">
        <f t="shared" si="181"/>
        <v>-0.10537485784149221</v>
      </c>
      <c r="AJ268" s="33">
        <f t="shared" si="199"/>
        <v>-6.0375346211085317</v>
      </c>
      <c r="AK268" s="37">
        <f t="shared" si="216"/>
        <v>-3.9830010240549107E-4</v>
      </c>
      <c r="AM268" s="41">
        <f t="shared" si="200"/>
        <v>-4.3016509477215727E-2</v>
      </c>
      <c r="AN268" s="41">
        <f t="shared" si="201"/>
        <v>-2.4646644424289685</v>
      </c>
      <c r="AO268" s="42">
        <f t="shared" si="202"/>
        <v>4.3016509477215727E-2</v>
      </c>
      <c r="AP268" s="41">
        <f t="shared" si="217"/>
        <v>-0.25217803401781014</v>
      </c>
      <c r="AQ268" s="41">
        <f t="shared" si="218"/>
        <v>-4.3256342449056462E-2</v>
      </c>
      <c r="AR268" s="43">
        <f t="shared" si="182"/>
        <v>0.38690875232310079</v>
      </c>
      <c r="AS268" s="41">
        <f t="shared" si="183"/>
        <v>22.168238564786162</v>
      </c>
      <c r="AU268" s="48">
        <f t="shared" si="219"/>
        <v>4.2827700440004182E-2</v>
      </c>
      <c r="AV268" s="48">
        <f t="shared" si="203"/>
        <v>2.4538464814628185</v>
      </c>
      <c r="AW268" s="49">
        <f t="shared" si="204"/>
        <v>0.34408105188309662</v>
      </c>
      <c r="AX268" s="48">
        <f t="shared" si="220"/>
        <v>-0.34178049583487419</v>
      </c>
      <c r="AY268" s="48">
        <f t="shared" si="221"/>
        <v>-0.34641703416747327</v>
      </c>
      <c r="AZ268" s="50">
        <f t="shared" si="205"/>
        <v>-2.8690269256075041E-3</v>
      </c>
      <c r="BA268" s="48">
        <f t="shared" si="206"/>
        <v>-0.164383134146704</v>
      </c>
      <c r="BB268" s="52">
        <f t="shared" si="222"/>
        <v>-4.2449693527654007E-2</v>
      </c>
      <c r="BC268" s="44">
        <f t="shared" si="207"/>
        <v>4.2827700440004182E-2</v>
      </c>
    </row>
    <row r="269" spans="4:55" x14ac:dyDescent="0.3">
      <c r="D269">
        <f t="shared" si="208"/>
        <v>2.6699999999999871</v>
      </c>
      <c r="F269" s="5">
        <f t="shared" si="184"/>
        <v>0.87038171393312813</v>
      </c>
      <c r="G269" s="6">
        <f t="shared" si="185"/>
        <v>49.869198773731199</v>
      </c>
      <c r="I269" s="9">
        <f t="shared" si="186"/>
        <v>0.87053010511314066</v>
      </c>
      <c r="J269" s="9">
        <f t="shared" si="187"/>
        <v>49.877700962062889</v>
      </c>
      <c r="K269" s="9">
        <f t="shared" si="188"/>
        <v>-6.0359012715033646</v>
      </c>
      <c r="L269" s="9">
        <f t="shared" si="189"/>
        <v>-0.1053463505130459</v>
      </c>
      <c r="M269" s="11">
        <f t="shared" si="179"/>
        <v>4.7535855797051774E-3</v>
      </c>
      <c r="O269" s="15">
        <f t="shared" si="190"/>
        <v>0.87255721944175946</v>
      </c>
      <c r="P269" s="15">
        <f t="shared" si="191"/>
        <v>49.993846057683236</v>
      </c>
      <c r="Q269" s="15">
        <v>-6.0359012715033602</v>
      </c>
      <c r="R269" s="15">
        <f t="shared" si="192"/>
        <v>-0.10534635051304582</v>
      </c>
      <c r="S269" s="16">
        <f t="shared" si="180"/>
        <v>2.3919477984879478E-4</v>
      </c>
      <c r="U269" s="23">
        <f t="shared" si="209"/>
        <v>0.86991537896412952</v>
      </c>
      <c r="V269" s="23">
        <f t="shared" si="193"/>
        <v>49.842479748168216</v>
      </c>
      <c r="W269" s="23">
        <f t="shared" si="194"/>
        <v>2.7492470330352514E-3</v>
      </c>
      <c r="X269" s="23">
        <f t="shared" si="210"/>
        <v>4.9836162196814013E-2</v>
      </c>
      <c r="Y269" s="23">
        <f t="shared" si="211"/>
        <v>-2.6641961420659221E-3</v>
      </c>
      <c r="Z269" s="26">
        <f t="shared" si="195"/>
        <v>-0.1051574974789882</v>
      </c>
      <c r="AA269" s="23">
        <f t="shared" si="196"/>
        <v>-6.025080789703618</v>
      </c>
      <c r="AB269" s="24">
        <f t="shared" si="212"/>
        <v>2.6386261675479528E-3</v>
      </c>
      <c r="AD269" s="33">
        <f t="shared" si="213"/>
        <v>0.87307564129649418</v>
      </c>
      <c r="AE269" s="33">
        <f t="shared" si="197"/>
        <v>50.023549441966885</v>
      </c>
      <c r="AF269" s="33">
        <f t="shared" si="198"/>
        <v>-4.1101529932940917E-4</v>
      </c>
      <c r="AG269" s="33">
        <f t="shared" si="214"/>
        <v>5.3097311668393599E-2</v>
      </c>
      <c r="AH269" s="33">
        <f t="shared" si="215"/>
        <v>3.9830010239993996E-4</v>
      </c>
      <c r="AI269" s="35">
        <f t="shared" si="181"/>
        <v>-0.10537458423864038</v>
      </c>
      <c r="AJ269" s="33">
        <f t="shared" si="199"/>
        <v>-6.0375189448198592</v>
      </c>
      <c r="AK269" s="37">
        <f t="shared" si="216"/>
        <v>-3.9447736454678584E-4</v>
      </c>
      <c r="AM269" s="41">
        <f t="shared" si="200"/>
        <v>-4.2588232472815686E-2</v>
      </c>
      <c r="AN269" s="41">
        <f t="shared" si="201"/>
        <v>-2.4401259776143402</v>
      </c>
      <c r="AO269" s="42">
        <f t="shared" si="202"/>
        <v>4.2588232472815686E-2</v>
      </c>
      <c r="AP269" s="41">
        <f t="shared" si="217"/>
        <v>-0.25175215169308196</v>
      </c>
      <c r="AQ269" s="41">
        <f t="shared" si="218"/>
        <v>-4.2827700440004057E-2</v>
      </c>
      <c r="AR269" s="43">
        <f t="shared" si="182"/>
        <v>0.38305462428815279</v>
      </c>
      <c r="AS269" s="41">
        <f t="shared" si="183"/>
        <v>21.94741329468059</v>
      </c>
      <c r="AU269" s="48">
        <f t="shared" si="219"/>
        <v>4.2403203504727642E-2</v>
      </c>
      <c r="AV269" s="48">
        <f t="shared" si="203"/>
        <v>2.4295245986552345</v>
      </c>
      <c r="AW269" s="49">
        <f t="shared" si="204"/>
        <v>0.34065142078342514</v>
      </c>
      <c r="AX269" s="48">
        <f t="shared" si="220"/>
        <v>-0.33837398162703991</v>
      </c>
      <c r="AY269" s="48">
        <f t="shared" si="221"/>
        <v>-0.34296310996714818</v>
      </c>
      <c r="AZ269" s="50">
        <f t="shared" si="205"/>
        <v>-2.8400627629347197E-3</v>
      </c>
      <c r="BA269" s="48">
        <f t="shared" si="206"/>
        <v>-0.1627236098684231</v>
      </c>
      <c r="BB269" s="52">
        <f t="shared" si="222"/>
        <v>-4.203866759960679E-2</v>
      </c>
      <c r="BC269" s="44">
        <f t="shared" si="207"/>
        <v>4.2403203504727642E-2</v>
      </c>
    </row>
    <row r="270" spans="4:55" x14ac:dyDescent="0.3">
      <c r="D270">
        <f t="shared" si="208"/>
        <v>2.6799999999999868</v>
      </c>
      <c r="F270" s="5">
        <f t="shared" si="184"/>
        <v>0.87043199253467318</v>
      </c>
      <c r="G270" s="6">
        <f t="shared" si="185"/>
        <v>49.872079525399556</v>
      </c>
      <c r="I270" s="9">
        <f t="shared" si="186"/>
        <v>0.87057764096893775</v>
      </c>
      <c r="J270" s="9">
        <f t="shared" si="187"/>
        <v>49.880424565975602</v>
      </c>
      <c r="K270" s="9">
        <f t="shared" si="188"/>
        <v>-6.0359012715033646</v>
      </c>
      <c r="L270" s="9">
        <f t="shared" si="189"/>
        <v>-0.1053463505130459</v>
      </c>
      <c r="M270" s="11">
        <f t="shared" si="179"/>
        <v>4.647723060239306E-3</v>
      </c>
      <c r="O270" s="15">
        <f t="shared" si="190"/>
        <v>0.87255961138955795</v>
      </c>
      <c r="P270" s="15">
        <f t="shared" si="191"/>
        <v>49.993983106196907</v>
      </c>
      <c r="Q270" s="15">
        <v>-6.0359012715033602</v>
      </c>
      <c r="R270" s="15">
        <f t="shared" si="192"/>
        <v>-0.10534635051304582</v>
      </c>
      <c r="S270" s="16">
        <f t="shared" si="180"/>
        <v>2.3386790361756837E-4</v>
      </c>
      <c r="U270" s="23">
        <f t="shared" si="209"/>
        <v>0.86994176522580502</v>
      </c>
      <c r="V270" s="23">
        <f t="shared" si="193"/>
        <v>49.843991569599353</v>
      </c>
      <c r="W270" s="23">
        <f t="shared" si="194"/>
        <v>2.7228607713597475E-3</v>
      </c>
      <c r="X270" s="23">
        <f t="shared" si="210"/>
        <v>4.9863390804527612E-2</v>
      </c>
      <c r="Y270" s="23">
        <f t="shared" si="211"/>
        <v>-2.6386261675503953E-3</v>
      </c>
      <c r="Z270" s="26">
        <f t="shared" si="195"/>
        <v>-0.10515931002093697</v>
      </c>
      <c r="AA270" s="23">
        <f t="shared" si="196"/>
        <v>-6.0251846407074732</v>
      </c>
      <c r="AB270" s="24">
        <f t="shared" si="212"/>
        <v>2.6133016042462209E-3</v>
      </c>
      <c r="AD270" s="33">
        <f t="shared" si="213"/>
        <v>0.87307169652284866</v>
      </c>
      <c r="AE270" s="33">
        <f t="shared" si="197"/>
        <v>50.023323423085863</v>
      </c>
      <c r="AF270" s="33">
        <f t="shared" si="198"/>
        <v>-4.0707052568389468E-4</v>
      </c>
      <c r="AG270" s="33">
        <f t="shared" si="214"/>
        <v>5.3093240963136758E-2</v>
      </c>
      <c r="AH270" s="33">
        <f t="shared" si="215"/>
        <v>3.9447736455144877E-4</v>
      </c>
      <c r="AI270" s="35">
        <f t="shared" si="181"/>
        <v>-0.10537431326172848</v>
      </c>
      <c r="AJ270" s="33">
        <f t="shared" si="199"/>
        <v>-6.0375034189864616</v>
      </c>
      <c r="AK270" s="37">
        <f t="shared" si="216"/>
        <v>-3.9069131591196182E-4</v>
      </c>
      <c r="AM270" s="41">
        <f t="shared" si="200"/>
        <v>-4.2164200437768411E-2</v>
      </c>
      <c r="AN270" s="41">
        <f t="shared" si="201"/>
        <v>-2.4158307316277878</v>
      </c>
      <c r="AO270" s="42">
        <f t="shared" si="202"/>
        <v>4.2164200437768411E-2</v>
      </c>
      <c r="AP270" s="41">
        <f t="shared" si="217"/>
        <v>-0.2513305096887043</v>
      </c>
      <c r="AQ270" s="41">
        <f t="shared" si="218"/>
        <v>-4.2403203504727538E-2</v>
      </c>
      <c r="AR270" s="43">
        <f t="shared" si="182"/>
        <v>0.37923880087295658</v>
      </c>
      <c r="AS270" s="41">
        <f t="shared" si="183"/>
        <v>21.728782717622654</v>
      </c>
      <c r="AU270" s="48">
        <f t="shared" si="219"/>
        <v>4.1982816828731576E-2</v>
      </c>
      <c r="AV270" s="48">
        <f t="shared" si="203"/>
        <v>2.4054382163571262</v>
      </c>
      <c r="AW270" s="49">
        <f t="shared" si="204"/>
        <v>0.33725598404422502</v>
      </c>
      <c r="AX270" s="48">
        <f t="shared" si="220"/>
        <v>-0.33500142178659764</v>
      </c>
      <c r="AY270" s="48">
        <f t="shared" si="221"/>
        <v>-0.33954367392001195</v>
      </c>
      <c r="AZ270" s="50">
        <f t="shared" si="205"/>
        <v>-2.811406145654699E-3</v>
      </c>
      <c r="BA270" s="48">
        <f t="shared" si="206"/>
        <v>-0.16108170664315624</v>
      </c>
      <c r="BB270" s="52">
        <f t="shared" si="222"/>
        <v>-4.1631121642738994E-2</v>
      </c>
      <c r="BC270" s="44">
        <f t="shared" si="207"/>
        <v>4.1982816828731576E-2</v>
      </c>
    </row>
    <row r="271" spans="4:55" x14ac:dyDescent="0.3">
      <c r="D271">
        <f t="shared" si="208"/>
        <v>2.6899999999999866</v>
      </c>
      <c r="F271" s="5">
        <f t="shared" si="184"/>
        <v>0.87048116380588647</v>
      </c>
      <c r="G271" s="6">
        <f t="shared" si="185"/>
        <v>49.874896831713365</v>
      </c>
      <c r="I271" s="9">
        <f t="shared" si="186"/>
        <v>0.87062411819954011</v>
      </c>
      <c r="J271" s="9">
        <f t="shared" si="187"/>
        <v>49.883087515132573</v>
      </c>
      <c r="K271" s="9">
        <f t="shared" si="188"/>
        <v>-6.0359012715033646</v>
      </c>
      <c r="L271" s="9">
        <f t="shared" si="189"/>
        <v>-0.1053463505130459</v>
      </c>
      <c r="M271" s="11">
        <f t="shared" si="179"/>
        <v>4.5442181028365614E-3</v>
      </c>
      <c r="O271" s="15">
        <f t="shared" si="190"/>
        <v>0.87256195006859416</v>
      </c>
      <c r="P271" s="15">
        <f t="shared" si="191"/>
        <v>49.994117102635315</v>
      </c>
      <c r="Q271" s="15">
        <v>-6.0359012715033602</v>
      </c>
      <c r="R271" s="15">
        <f t="shared" si="192"/>
        <v>-0.10534635051304582</v>
      </c>
      <c r="S271" s="16">
        <f t="shared" si="180"/>
        <v>2.2865965710905378E-4</v>
      </c>
      <c r="U271" s="23">
        <f t="shared" si="209"/>
        <v>0.8699678982418475</v>
      </c>
      <c r="V271" s="23">
        <f t="shared" si="193"/>
        <v>49.845488881124531</v>
      </c>
      <c r="W271" s="23">
        <f t="shared" si="194"/>
        <v>2.6967277553172631E-3</v>
      </c>
      <c r="X271" s="23">
        <f t="shared" si="210"/>
        <v>4.9890358082080782E-2</v>
      </c>
      <c r="Y271" s="23">
        <f t="shared" si="211"/>
        <v>-2.6133016042484414E-3</v>
      </c>
      <c r="Z271" s="26">
        <f t="shared" si="195"/>
        <v>-0.10516110516677485</v>
      </c>
      <c r="AA271" s="23">
        <f t="shared" si="196"/>
        <v>-6.0252874949875936</v>
      </c>
      <c r="AB271" s="24">
        <f t="shared" si="212"/>
        <v>2.5882200967861646E-3</v>
      </c>
      <c r="AD271" s="33">
        <f t="shared" si="213"/>
        <v>0.87306778960968956</v>
      </c>
      <c r="AE271" s="33">
        <f t="shared" si="197"/>
        <v>50.023099573450921</v>
      </c>
      <c r="AF271" s="33">
        <f t="shared" si="198"/>
        <v>-4.0316361252479282E-4</v>
      </c>
      <c r="AG271" s="33">
        <f t="shared" si="214"/>
        <v>5.3089209327011506E-2</v>
      </c>
      <c r="AH271" s="33">
        <f t="shared" si="215"/>
        <v>3.9069131591018547E-4</v>
      </c>
      <c r="AI271" s="35">
        <f t="shared" si="181"/>
        <v>-0.10537404488555298</v>
      </c>
      <c r="AJ271" s="33">
        <f t="shared" si="199"/>
        <v>-6.0374880421642834</v>
      </c>
      <c r="AK271" s="37">
        <f t="shared" si="216"/>
        <v>-3.8694160438490499E-4</v>
      </c>
      <c r="AM271" s="41">
        <f t="shared" si="200"/>
        <v>-4.1744372269481092E-2</v>
      </c>
      <c r="AN271" s="41">
        <f t="shared" si="201"/>
        <v>-2.3917763494642168</v>
      </c>
      <c r="AO271" s="42">
        <f t="shared" si="202"/>
        <v>4.1744372269481092E-2</v>
      </c>
      <c r="AP271" s="41">
        <f t="shared" si="217"/>
        <v>-0.25091306596600949</v>
      </c>
      <c r="AQ271" s="41">
        <f t="shared" si="218"/>
        <v>-4.1982816828731867E-2</v>
      </c>
      <c r="AR271" s="43">
        <f t="shared" si="182"/>
        <v>0.37546090586607905</v>
      </c>
      <c r="AS271" s="41">
        <f t="shared" si="183"/>
        <v>21.512325278285022</v>
      </c>
      <c r="AU271" s="48">
        <f t="shared" si="219"/>
        <v>4.1566505612304183E-2</v>
      </c>
      <c r="AV271" s="48">
        <f t="shared" si="203"/>
        <v>2.3815853406918794</v>
      </c>
      <c r="AW271" s="49">
        <f t="shared" si="204"/>
        <v>0.33389440025377487</v>
      </c>
      <c r="AX271" s="48">
        <f t="shared" si="220"/>
        <v>-0.33166247778405988</v>
      </c>
      <c r="AY271" s="48">
        <f t="shared" si="221"/>
        <v>-0.33615837904501511</v>
      </c>
      <c r="AZ271" s="50">
        <f t="shared" si="205"/>
        <v>-2.7830530442048973E-3</v>
      </c>
      <c r="BA271" s="48">
        <f t="shared" si="206"/>
        <v>-0.15945719359397634</v>
      </c>
      <c r="BB271" s="52">
        <f t="shared" si="222"/>
        <v>-4.1227052495252506E-2</v>
      </c>
      <c r="BC271" s="44">
        <f t="shared" si="207"/>
        <v>4.1566505612304183E-2</v>
      </c>
    </row>
    <row r="272" spans="4:55" x14ac:dyDescent="0.3">
      <c r="D272">
        <f t="shared" si="208"/>
        <v>2.6999999999999864</v>
      </c>
      <c r="F272" s="5">
        <f t="shared" si="184"/>
        <v>0.87052925213448806</v>
      </c>
      <c r="G272" s="6">
        <f t="shared" si="185"/>
        <v>49.877652089986078</v>
      </c>
      <c r="I272" s="9">
        <f t="shared" si="186"/>
        <v>0.87066956038056853</v>
      </c>
      <c r="J272" s="9">
        <f t="shared" si="187"/>
        <v>49.885691160317371</v>
      </c>
      <c r="K272" s="9">
        <f t="shared" si="188"/>
        <v>-6.0359012715033646</v>
      </c>
      <c r="L272" s="9">
        <f t="shared" si="189"/>
        <v>-0.1053463505130459</v>
      </c>
      <c r="M272" s="11">
        <f t="shared" si="179"/>
        <v>4.4430182045060995E-3</v>
      </c>
      <c r="O272" s="15">
        <f t="shared" si="190"/>
        <v>0.87256423666516525</v>
      </c>
      <c r="P272" s="15">
        <f t="shared" si="191"/>
        <v>49.994248114968293</v>
      </c>
      <c r="Q272" s="15">
        <v>-6.0359012715033602</v>
      </c>
      <c r="R272" s="15">
        <f t="shared" si="192"/>
        <v>-0.10534635051304582</v>
      </c>
      <c r="S272" s="16">
        <f t="shared" si="180"/>
        <v>2.2356739843454321E-4</v>
      </c>
      <c r="U272" s="23">
        <f t="shared" si="209"/>
        <v>0.86999378044281539</v>
      </c>
      <c r="V272" s="23">
        <f t="shared" si="193"/>
        <v>49.846971822004505</v>
      </c>
      <c r="W272" s="23">
        <f t="shared" si="194"/>
        <v>2.670845554349377E-3</v>
      </c>
      <c r="X272" s="23">
        <f t="shared" si="210"/>
        <v>4.9917066537624274E-2</v>
      </c>
      <c r="Y272" s="23">
        <f t="shared" si="211"/>
        <v>-2.5882200967886071E-3</v>
      </c>
      <c r="Z272" s="26">
        <f t="shared" si="195"/>
        <v>-0.10516288308346336</v>
      </c>
      <c r="AA272" s="23">
        <f t="shared" si="196"/>
        <v>-6.0253893621101717</v>
      </c>
      <c r="AB272" s="24">
        <f t="shared" si="212"/>
        <v>2.5633793124091309E-3</v>
      </c>
      <c r="AD272" s="33">
        <f t="shared" si="213"/>
        <v>0.87306392019364576</v>
      </c>
      <c r="AE272" s="33">
        <f t="shared" si="197"/>
        <v>50.022877872242432</v>
      </c>
      <c r="AF272" s="33">
        <f t="shared" si="198"/>
        <v>-3.9929419648099262E-4</v>
      </c>
      <c r="AG272" s="33">
        <f t="shared" si="214"/>
        <v>5.3085216385046693E-2</v>
      </c>
      <c r="AH272" s="33">
        <f t="shared" si="215"/>
        <v>3.8694160438002001E-4</v>
      </c>
      <c r="AI272" s="35">
        <f t="shared" si="181"/>
        <v>-0.1053737790851533</v>
      </c>
      <c r="AJ272" s="33">
        <f t="shared" si="199"/>
        <v>-6.0374728129231894</v>
      </c>
      <c r="AK272" s="37">
        <f t="shared" si="216"/>
        <v>-3.832278812097023E-4</v>
      </c>
      <c r="AM272" s="41">
        <f t="shared" si="200"/>
        <v>-4.1328707213358053E-2</v>
      </c>
      <c r="AN272" s="41">
        <f t="shared" si="201"/>
        <v>-2.367960496057298</v>
      </c>
      <c r="AO272" s="42">
        <f t="shared" si="202"/>
        <v>4.1328707213358053E-2</v>
      </c>
      <c r="AP272" s="41">
        <f t="shared" si="217"/>
        <v>-0.25049977889387592</v>
      </c>
      <c r="AQ272" s="41">
        <f t="shared" si="218"/>
        <v>-4.1566505612303933E-2</v>
      </c>
      <c r="AR272" s="43">
        <f t="shared" si="182"/>
        <v>0.37172056652127661</v>
      </c>
      <c r="AS272" s="41">
        <f t="shared" si="183"/>
        <v>21.298019619881114</v>
      </c>
      <c r="AU272" s="48">
        <f t="shared" si="219"/>
        <v>4.1154235087351658E-2</v>
      </c>
      <c r="AV272" s="48">
        <f t="shared" si="203"/>
        <v>2.3579639795944569</v>
      </c>
      <c r="AW272" s="49">
        <f t="shared" si="204"/>
        <v>0.33056633143392494</v>
      </c>
      <c r="AX272" s="48">
        <f t="shared" si="220"/>
        <v>-0.32835681446972065</v>
      </c>
      <c r="AY272" s="48">
        <f t="shared" si="221"/>
        <v>-0.33280688198499275</v>
      </c>
      <c r="AZ272" s="50">
        <f t="shared" si="205"/>
        <v>-2.7549995184836251E-3</v>
      </c>
      <c r="BA272" s="48">
        <f t="shared" si="206"/>
        <v>-0.15784984496968577</v>
      </c>
      <c r="BB272" s="52">
        <f t="shared" si="222"/>
        <v>-4.0826455415390622E-2</v>
      </c>
      <c r="BC272" s="44">
        <f t="shared" si="207"/>
        <v>4.1154235087351658E-2</v>
      </c>
    </row>
    <row r="273" spans="4:55" x14ac:dyDescent="0.3">
      <c r="D273">
        <f t="shared" si="208"/>
        <v>2.7099999999999862</v>
      </c>
      <c r="F273" s="5">
        <f t="shared" si="184"/>
        <v>0.87057628137108578</v>
      </c>
      <c r="G273" s="6">
        <f t="shared" si="185"/>
        <v>49.88034666675685</v>
      </c>
      <c r="I273" s="9">
        <f t="shared" si="186"/>
        <v>0.87071399056261356</v>
      </c>
      <c r="J273" s="9">
        <f t="shared" si="187"/>
        <v>49.888236822231548</v>
      </c>
      <c r="K273" s="9">
        <f t="shared" si="188"/>
        <v>-6.0359012715033646</v>
      </c>
      <c r="L273" s="9">
        <f t="shared" si="189"/>
        <v>-0.1053463505130459</v>
      </c>
      <c r="M273" s="11">
        <f t="shared" si="179"/>
        <v>4.3440720315015557E-3</v>
      </c>
      <c r="O273" s="15">
        <f t="shared" si="190"/>
        <v>0.87256647233914963</v>
      </c>
      <c r="P273" s="15">
        <f t="shared" si="191"/>
        <v>49.994376209651961</v>
      </c>
      <c r="Q273" s="15">
        <v>-6.0359012715033602</v>
      </c>
      <c r="R273" s="15">
        <f t="shared" si="192"/>
        <v>-0.10534635051304582</v>
      </c>
      <c r="S273" s="16">
        <f t="shared" si="180"/>
        <v>2.1858854454182008E-4</v>
      </c>
      <c r="U273" s="23">
        <f t="shared" si="209"/>
        <v>0.87001941423593943</v>
      </c>
      <c r="V273" s="23">
        <f t="shared" si="193"/>
        <v>49.848440530163423</v>
      </c>
      <c r="W273" s="23">
        <f t="shared" si="194"/>
        <v>2.6452117612253412E-3</v>
      </c>
      <c r="X273" s="23">
        <f t="shared" si="210"/>
        <v>4.9943518655236531E-2</v>
      </c>
      <c r="Y273" s="23">
        <f t="shared" si="211"/>
        <v>-2.5633793124035797E-3</v>
      </c>
      <c r="Z273" s="26">
        <f t="shared" si="195"/>
        <v>-0.10516464393636173</v>
      </c>
      <c r="AA273" s="23">
        <f t="shared" si="196"/>
        <v>-6.0254902515495914</v>
      </c>
      <c r="AB273" s="24">
        <f t="shared" si="212"/>
        <v>2.5387769407461125E-3</v>
      </c>
      <c r="AD273" s="33">
        <f t="shared" si="213"/>
        <v>0.87306008791483369</v>
      </c>
      <c r="AE273" s="33">
        <f t="shared" si="197"/>
        <v>50.022658298840582</v>
      </c>
      <c r="AF273" s="33">
        <f t="shared" si="198"/>
        <v>-3.9546191766892669E-4</v>
      </c>
      <c r="AG273" s="33">
        <f t="shared" si="214"/>
        <v>5.3081261765870004E-2</v>
      </c>
      <c r="AH273" s="33">
        <f t="shared" si="215"/>
        <v>3.8322788120659368E-4</v>
      </c>
      <c r="AI273" s="35">
        <f t="shared" si="181"/>
        <v>-0.10537351583580819</v>
      </c>
      <c r="AJ273" s="33">
        <f t="shared" si="199"/>
        <v>-6.0374577298467544</v>
      </c>
      <c r="AK273" s="37">
        <f t="shared" si="216"/>
        <v>-3.795498009815379E-4</v>
      </c>
      <c r="AM273" s="41">
        <f t="shared" si="200"/>
        <v>-4.0917164862484534E-2</v>
      </c>
      <c r="AN273" s="41">
        <f t="shared" si="201"/>
        <v>-2.3443808562613531</v>
      </c>
      <c r="AO273" s="42">
        <f t="shared" si="202"/>
        <v>4.0917164862484534E-2</v>
      </c>
      <c r="AP273" s="41">
        <f t="shared" si="217"/>
        <v>-0.25009060724525106</v>
      </c>
      <c r="AQ273" s="41">
        <f t="shared" si="218"/>
        <v>-4.1154235087351859E-2</v>
      </c>
      <c r="AR273" s="43">
        <f t="shared" si="182"/>
        <v>0.36801741353749351</v>
      </c>
      <c r="AS273" s="41">
        <f t="shared" si="183"/>
        <v>21.085844583019067</v>
      </c>
      <c r="AU273" s="48">
        <f t="shared" si="219"/>
        <v>4.0745970533197749E-2</v>
      </c>
      <c r="AV273" s="48">
        <f t="shared" si="203"/>
        <v>2.3345721437166476</v>
      </c>
      <c r="AW273" s="49">
        <f t="shared" si="204"/>
        <v>0.32727144300429578</v>
      </c>
      <c r="AX273" s="48">
        <f t="shared" si="220"/>
        <v>-0.32508410003967769</v>
      </c>
      <c r="AY273" s="48">
        <f t="shared" si="221"/>
        <v>-0.32948884296291614</v>
      </c>
      <c r="AZ273" s="50">
        <f t="shared" si="205"/>
        <v>-2.7272417144215966E-3</v>
      </c>
      <c r="BA273" s="48">
        <f t="shared" si="206"/>
        <v>-0.15625943994838043</v>
      </c>
      <c r="BB273" s="52">
        <f t="shared" si="222"/>
        <v>-4.0429324179871808E-2</v>
      </c>
      <c r="BC273" s="44">
        <f t="shared" si="207"/>
        <v>4.0745970533197749E-2</v>
      </c>
    </row>
    <row r="274" spans="4:55" x14ac:dyDescent="0.3">
      <c r="D274">
        <f t="shared" si="208"/>
        <v>2.719999999999986</v>
      </c>
      <c r="F274" s="5">
        <f t="shared" si="184"/>
        <v>0.87062227484100407</v>
      </c>
      <c r="G274" s="6">
        <f t="shared" si="185"/>
        <v>49.88298189846833</v>
      </c>
      <c r="I274" s="9">
        <f t="shared" si="186"/>
        <v>0.8707574312829286</v>
      </c>
      <c r="J274" s="9">
        <f t="shared" si="187"/>
        <v>49.890725792164609</v>
      </c>
      <c r="K274" s="9">
        <f t="shared" si="188"/>
        <v>-6.0359012715033646</v>
      </c>
      <c r="L274" s="9">
        <f t="shared" si="189"/>
        <v>-0.1053463505130459</v>
      </c>
      <c r="M274" s="11">
        <f t="shared" si="179"/>
        <v>4.2473293932792089E-3</v>
      </c>
      <c r="O274" s="15">
        <f t="shared" si="190"/>
        <v>0.87256865822459506</v>
      </c>
      <c r="P274" s="15">
        <f t="shared" si="191"/>
        <v>49.994501451662487</v>
      </c>
      <c r="Q274" s="15">
        <v>-6.0359012715033602</v>
      </c>
      <c r="R274" s="15">
        <f t="shared" si="192"/>
        <v>-0.10534635051304582</v>
      </c>
      <c r="S274" s="16">
        <f t="shared" si="180"/>
        <v>2.137205699015432E-4</v>
      </c>
      <c r="U274" s="23">
        <f t="shared" si="209"/>
        <v>0.87004480200534684</v>
      </c>
      <c r="V274" s="23">
        <f t="shared" si="193"/>
        <v>49.849895142201717</v>
      </c>
      <c r="W274" s="23">
        <f t="shared" si="194"/>
        <v>2.6198239918179267E-3</v>
      </c>
      <c r="X274" s="23">
        <f t="shared" si="210"/>
        <v>4.9969716895154712E-2</v>
      </c>
      <c r="Y274" s="23">
        <f t="shared" si="211"/>
        <v>-2.5387769407414496E-3</v>
      </c>
      <c r="Z274" s="26">
        <f t="shared" si="195"/>
        <v>-0.10516638788924157</v>
      </c>
      <c r="AA274" s="23">
        <f t="shared" si="196"/>
        <v>-6.0255901726892764</v>
      </c>
      <c r="AB274" s="24">
        <f t="shared" si="212"/>
        <v>2.5144106935930388E-3</v>
      </c>
      <c r="AD274" s="33">
        <f t="shared" si="213"/>
        <v>0.87305629241682392</v>
      </c>
      <c r="AE274" s="33">
        <f t="shared" si="197"/>
        <v>50.02244083282347</v>
      </c>
      <c r="AF274" s="33">
        <f t="shared" si="198"/>
        <v>-3.916664196591535E-4</v>
      </c>
      <c r="AG274" s="33">
        <f t="shared" si="214"/>
        <v>5.3077345101673411E-2</v>
      </c>
      <c r="AH274" s="33">
        <f t="shared" si="215"/>
        <v>3.7954980097731905E-4</v>
      </c>
      <c r="AI274" s="35">
        <f t="shared" si="181"/>
        <v>-0.1053732551130334</v>
      </c>
      <c r="AJ274" s="33">
        <f t="shared" si="199"/>
        <v>-6.0374427915321363</v>
      </c>
      <c r="AK274" s="37">
        <f t="shared" si="216"/>
        <v>-3.7590702161516276E-4</v>
      </c>
      <c r="AM274" s="41">
        <f t="shared" si="200"/>
        <v>-4.0509705157152555E-2</v>
      </c>
      <c r="AN274" s="41">
        <f t="shared" si="201"/>
        <v>-2.3210351348241867</v>
      </c>
      <c r="AO274" s="42">
        <f t="shared" si="202"/>
        <v>4.0509705157152555E-2</v>
      </c>
      <c r="AP274" s="41">
        <f t="shared" si="217"/>
        <v>-0.24968551019367954</v>
      </c>
      <c r="AQ274" s="41">
        <f t="shared" si="218"/>
        <v>-4.0745970533197923E-2</v>
      </c>
      <c r="AR274" s="43">
        <f t="shared" si="182"/>
        <v>0.36435108103832758</v>
      </c>
      <c r="AS274" s="41">
        <f t="shared" si="183"/>
        <v>20.875779204525205</v>
      </c>
      <c r="AU274" s="48">
        <f t="shared" si="219"/>
        <v>4.0341677291399029E-2</v>
      </c>
      <c r="AV274" s="48">
        <f t="shared" si="203"/>
        <v>2.3114078472759187</v>
      </c>
      <c r="AW274" s="49">
        <f t="shared" si="204"/>
        <v>0.32400940374692855</v>
      </c>
      <c r="AX274" s="48">
        <f t="shared" si="220"/>
        <v>-0.32184400600220842</v>
      </c>
      <c r="AY274" s="48">
        <f t="shared" si="221"/>
        <v>-0.3262039257367233</v>
      </c>
      <c r="AZ274" s="50">
        <f t="shared" si="205"/>
        <v>-2.699775860756648E-3</v>
      </c>
      <c r="BA274" s="48">
        <f t="shared" si="206"/>
        <v>-0.15468576245265495</v>
      </c>
      <c r="BB274" s="52">
        <f t="shared" si="222"/>
        <v>-4.0035651176383247E-2</v>
      </c>
      <c r="BC274" s="44">
        <f t="shared" si="207"/>
        <v>4.0341677291399029E-2</v>
      </c>
    </row>
    <row r="275" spans="4:55" x14ac:dyDescent="0.3">
      <c r="D275">
        <f t="shared" si="208"/>
        <v>2.7299999999999858</v>
      </c>
      <c r="F275" s="5">
        <f t="shared" si="184"/>
        <v>0.87066725535585321</v>
      </c>
      <c r="G275" s="6">
        <f t="shared" si="185"/>
        <v>49.885559092129512</v>
      </c>
      <c r="I275" s="9">
        <f t="shared" si="186"/>
        <v>0.87079990457686141</v>
      </c>
      <c r="J275" s="9">
        <f t="shared" si="187"/>
        <v>49.893159332648978</v>
      </c>
      <c r="K275" s="9">
        <f t="shared" si="188"/>
        <v>-6.0359012715033646</v>
      </c>
      <c r="L275" s="9">
        <f t="shared" si="189"/>
        <v>-0.1053463505130459</v>
      </c>
      <c r="M275" s="11">
        <f t="shared" si="179"/>
        <v>4.1527412170410116E-3</v>
      </c>
      <c r="O275" s="15">
        <f t="shared" si="190"/>
        <v>0.87257079543029403</v>
      </c>
      <c r="P275" s="15">
        <f t="shared" si="191"/>
        <v>49.994623904528986</v>
      </c>
      <c r="Q275" s="15">
        <v>-6.0359012715033602</v>
      </c>
      <c r="R275" s="15">
        <f t="shared" si="192"/>
        <v>-0.10534635051304582</v>
      </c>
      <c r="S275" s="16">
        <f t="shared" si="180"/>
        <v>2.0896100522960204E-4</v>
      </c>
      <c r="U275" s="23">
        <f t="shared" si="209"/>
        <v>0.87006994611228272</v>
      </c>
      <c r="V275" s="23">
        <f t="shared" si="193"/>
        <v>49.851335793408772</v>
      </c>
      <c r="W275" s="23">
        <f t="shared" si="194"/>
        <v>2.5946798848820452E-3</v>
      </c>
      <c r="X275" s="23">
        <f t="shared" si="210"/>
        <v>4.9995663694003531E-2</v>
      </c>
      <c r="Y275" s="23">
        <f t="shared" si="211"/>
        <v>-2.5144106935881538E-3</v>
      </c>
      <c r="Z275" s="26">
        <f t="shared" si="195"/>
        <v>-0.10516811510430321</v>
      </c>
      <c r="AA275" s="23">
        <f t="shared" si="196"/>
        <v>-6.0256891348226196</v>
      </c>
      <c r="AB275" s="24">
        <f t="shared" si="212"/>
        <v>2.4902783047167087E-3</v>
      </c>
      <c r="AD275" s="33">
        <f t="shared" si="213"/>
        <v>0.87305253334660782</v>
      </c>
      <c r="AE275" s="33">
        <f t="shared" si="197"/>
        <v>50.022225453965191</v>
      </c>
      <c r="AF275" s="33">
        <f t="shared" si="198"/>
        <v>-3.8790734944305072E-4</v>
      </c>
      <c r="AG275" s="33">
        <f t="shared" si="214"/>
        <v>5.307346602817898E-2</v>
      </c>
      <c r="AH275" s="33">
        <f t="shared" si="215"/>
        <v>3.7590702161027778E-4</v>
      </c>
      <c r="AI275" s="35">
        <f t="shared" si="181"/>
        <v>-0.10537299689257991</v>
      </c>
      <c r="AJ275" s="33">
        <f t="shared" si="199"/>
        <v>-6.0374279965899671</v>
      </c>
      <c r="AK275" s="37">
        <f t="shared" si="216"/>
        <v>-3.7229920430492669E-4</v>
      </c>
      <c r="AM275" s="41">
        <f t="shared" si="200"/>
        <v>-4.0106288384238561E-2</v>
      </c>
      <c r="AN275" s="41">
        <f t="shared" si="201"/>
        <v>-2.2979210563514272</v>
      </c>
      <c r="AO275" s="42">
        <f t="shared" si="202"/>
        <v>4.0106288384238561E-2</v>
      </c>
      <c r="AP275" s="41">
        <f t="shared" si="217"/>
        <v>-0.24928444730983715</v>
      </c>
      <c r="AQ275" s="41">
        <f t="shared" si="218"/>
        <v>-4.0341677291399342E-2</v>
      </c>
      <c r="AR275" s="43">
        <f t="shared" si="182"/>
        <v>0.36072120655098627</v>
      </c>
      <c r="AS275" s="41">
        <f t="shared" si="183"/>
        <v>20.667802716238338</v>
      </c>
      <c r="AU275" s="48">
        <f t="shared" si="219"/>
        <v>3.9941320779635199E-2</v>
      </c>
      <c r="AV275" s="48">
        <f t="shared" si="203"/>
        <v>2.2884691088512716</v>
      </c>
      <c r="AW275" s="49">
        <f t="shared" si="204"/>
        <v>0.32077988577135108</v>
      </c>
      <c r="AX275" s="48">
        <f t="shared" si="220"/>
        <v>-0.31863620714449492</v>
      </c>
      <c r="AY275" s="48">
        <f t="shared" si="221"/>
        <v>-0.32295179755774672</v>
      </c>
      <c r="AZ275" s="50">
        <f t="shared" si="205"/>
        <v>-2.672598265923587E-3</v>
      </c>
      <c r="BA275" s="48">
        <f t="shared" si="206"/>
        <v>-0.15312860097140399</v>
      </c>
      <c r="BB275" s="52">
        <f t="shared" si="222"/>
        <v>-3.9645427491890511E-2</v>
      </c>
      <c r="BC275" s="44">
        <f t="shared" si="207"/>
        <v>3.9941320779635199E-2</v>
      </c>
    </row>
    <row r="276" spans="4:55" x14ac:dyDescent="0.3">
      <c r="D276">
        <f t="shared" si="208"/>
        <v>2.7399999999999856</v>
      </c>
      <c r="F276" s="5">
        <f t="shared" si="184"/>
        <v>0.87071124522484311</v>
      </c>
      <c r="G276" s="6">
        <f t="shared" si="185"/>
        <v>49.888079525963967</v>
      </c>
      <c r="I276" s="9">
        <f t="shared" si="186"/>
        <v>0.87084143198903186</v>
      </c>
      <c r="J276" s="9">
        <f t="shared" si="187"/>
        <v>49.895538678100444</v>
      </c>
      <c r="K276" s="9">
        <f t="shared" si="188"/>
        <v>-6.0359012715033646</v>
      </c>
      <c r="L276" s="9">
        <f t="shared" si="189"/>
        <v>-0.1053463505130459</v>
      </c>
      <c r="M276" s="11">
        <f t="shared" si="179"/>
        <v>4.0602595228429461E-3</v>
      </c>
      <c r="O276" s="15">
        <f t="shared" si="190"/>
        <v>0.87257288504034636</v>
      </c>
      <c r="P276" s="15">
        <f t="shared" si="191"/>
        <v>49.994743630365811</v>
      </c>
      <c r="Q276" s="15">
        <v>-6.0359012715033602</v>
      </c>
      <c r="R276" s="15">
        <f t="shared" si="192"/>
        <v>-0.10534635051304582</v>
      </c>
      <c r="S276" s="16">
        <f t="shared" si="180"/>
        <v>2.0430743623145453E-4</v>
      </c>
      <c r="U276" s="23">
        <f t="shared" si="209"/>
        <v>0.87009484889532984</v>
      </c>
      <c r="V276" s="23">
        <f t="shared" si="193"/>
        <v>49.852762617775497</v>
      </c>
      <c r="W276" s="23">
        <f t="shared" si="194"/>
        <v>2.5697771018349247E-3</v>
      </c>
      <c r="X276" s="23">
        <f t="shared" si="210"/>
        <v>5.0021361465021882E-2</v>
      </c>
      <c r="Y276" s="23">
        <f t="shared" si="211"/>
        <v>-2.4902783047120458E-3</v>
      </c>
      <c r="Z276" s="26">
        <f t="shared" si="195"/>
        <v>-0.10516982574219005</v>
      </c>
      <c r="AA276" s="23">
        <f t="shared" si="196"/>
        <v>-6.0257871471538111</v>
      </c>
      <c r="AB276" s="24">
        <f t="shared" si="212"/>
        <v>2.4663775296307477E-3</v>
      </c>
      <c r="AD276" s="33">
        <f t="shared" si="213"/>
        <v>0.87304881035456472</v>
      </c>
      <c r="AE276" s="33">
        <f t="shared" si="197"/>
        <v>50.022012142233962</v>
      </c>
      <c r="AF276" s="33">
        <f t="shared" si="198"/>
        <v>-3.841843573999526E-4</v>
      </c>
      <c r="AG276" s="33">
        <f t="shared" si="214"/>
        <v>5.306962418460498E-2</v>
      </c>
      <c r="AH276" s="33">
        <f t="shared" si="215"/>
        <v>3.7229920430981167E-4</v>
      </c>
      <c r="AI276" s="35">
        <f t="shared" si="181"/>
        <v>-0.1053727411504316</v>
      </c>
      <c r="AJ276" s="33">
        <f t="shared" si="199"/>
        <v>-6.0374133436442259</v>
      </c>
      <c r="AK276" s="37">
        <f t="shared" si="216"/>
        <v>-3.6872601349258183E-4</v>
      </c>
      <c r="AM276" s="41">
        <f t="shared" si="200"/>
        <v>-3.9706875176442211E-2</v>
      </c>
      <c r="AN276" s="41">
        <f t="shared" si="201"/>
        <v>-2.2750363652629146</v>
      </c>
      <c r="AO276" s="42">
        <f t="shared" si="202"/>
        <v>3.9706875176442211E-2</v>
      </c>
      <c r="AP276" s="41">
        <f t="shared" si="217"/>
        <v>-0.24888737855807272</v>
      </c>
      <c r="AQ276" s="41">
        <f t="shared" si="218"/>
        <v>-3.9941320779635081E-2</v>
      </c>
      <c r="AR276" s="43">
        <f t="shared" si="182"/>
        <v>0.35712743098478705</v>
      </c>
      <c r="AS276" s="41">
        <f t="shared" si="183"/>
        <v>20.461894543777884</v>
      </c>
      <c r="AU276" s="48">
        <f t="shared" si="219"/>
        <v>3.9544866504716294E-2</v>
      </c>
      <c r="AV276" s="48">
        <f t="shared" si="203"/>
        <v>2.2657539521284993</v>
      </c>
      <c r="AW276" s="49">
        <f t="shared" si="204"/>
        <v>0.31758256448007077</v>
      </c>
      <c r="AX276" s="48">
        <f t="shared" si="220"/>
        <v>-0.31546038149969419</v>
      </c>
      <c r="AY276" s="48">
        <f t="shared" si="221"/>
        <v>-0.31973212912803084</v>
      </c>
      <c r="AZ276" s="50">
        <f t="shared" si="205"/>
        <v>-2.6457053151130172E-3</v>
      </c>
      <c r="BA276" s="48">
        <f t="shared" si="206"/>
        <v>-0.15158774839130543</v>
      </c>
      <c r="BB276" s="52">
        <f t="shared" si="222"/>
        <v>-3.9258642995863555E-2</v>
      </c>
      <c r="BC276" s="44">
        <f t="shared" si="207"/>
        <v>3.9544866504716294E-2</v>
      </c>
    </row>
    <row r="277" spans="4:55" x14ac:dyDescent="0.3">
      <c r="D277">
        <f t="shared" si="208"/>
        <v>2.7499999999999853</v>
      </c>
      <c r="F277" s="5">
        <f t="shared" si="184"/>
        <v>0.87075426626584795</v>
      </c>
      <c r="G277" s="6">
        <f t="shared" si="185"/>
        <v>49.890544450043798</v>
      </c>
      <c r="I277" s="9">
        <f t="shared" si="186"/>
        <v>0.87088203458426028</v>
      </c>
      <c r="J277" s="9">
        <f t="shared" si="187"/>
        <v>49.897865035444312</v>
      </c>
      <c r="K277" s="9">
        <f t="shared" si="188"/>
        <v>-6.0359012715033646</v>
      </c>
      <c r="L277" s="9">
        <f t="shared" si="189"/>
        <v>-0.1053463505130459</v>
      </c>
      <c r="M277" s="11">
        <f t="shared" si="179"/>
        <v>3.9698373992549385E-3</v>
      </c>
      <c r="O277" s="15">
        <f t="shared" si="190"/>
        <v>0.87257492811470871</v>
      </c>
      <c r="P277" s="15">
        <f t="shared" si="191"/>
        <v>49.994860689904009</v>
      </c>
      <c r="Q277" s="15">
        <v>-6.0359012715033602</v>
      </c>
      <c r="R277" s="15">
        <f t="shared" si="192"/>
        <v>-0.10534635051304582</v>
      </c>
      <c r="S277" s="16">
        <f t="shared" si="180"/>
        <v>1.9975750237954948E-4</v>
      </c>
      <c r="U277" s="23">
        <f t="shared" si="209"/>
        <v>0.87011951267062615</v>
      </c>
      <c r="V277" s="23">
        <f t="shared" si="193"/>
        <v>49.854175748006838</v>
      </c>
      <c r="W277" s="23">
        <f t="shared" si="194"/>
        <v>2.5451133265386172E-3</v>
      </c>
      <c r="X277" s="23">
        <f t="shared" si="210"/>
        <v>5.004681259828727E-2</v>
      </c>
      <c r="Y277" s="23">
        <f t="shared" si="211"/>
        <v>-2.4663775296307477E-3</v>
      </c>
      <c r="Z277" s="26">
        <f t="shared" si="195"/>
        <v>-0.10517151996200362</v>
      </c>
      <c r="AA277" s="23">
        <f t="shared" si="196"/>
        <v>-6.0258842187986952</v>
      </c>
      <c r="AB277" s="24">
        <f t="shared" si="212"/>
        <v>2.4427061453897725E-3</v>
      </c>
      <c r="AD277" s="33">
        <f t="shared" si="213"/>
        <v>0.87304512309442983</v>
      </c>
      <c r="AE277" s="33">
        <f t="shared" si="197"/>
        <v>50.02180087779027</v>
      </c>
      <c r="AF277" s="33">
        <f t="shared" si="198"/>
        <v>-3.8049709726506453E-4</v>
      </c>
      <c r="AG277" s="33">
        <f t="shared" si="214"/>
        <v>5.3065819213632327E-2</v>
      </c>
      <c r="AH277" s="33">
        <f t="shared" si="215"/>
        <v>3.6872601348880707E-4</v>
      </c>
      <c r="AI277" s="35">
        <f t="shared" si="181"/>
        <v>-0.10537248786280197</v>
      </c>
      <c r="AJ277" s="33">
        <f t="shared" si="199"/>
        <v>-6.0373988313320446</v>
      </c>
      <c r="AK277" s="37">
        <f t="shared" si="216"/>
        <v>-3.6518711685862293E-4</v>
      </c>
      <c r="AM277" s="41">
        <f t="shared" si="200"/>
        <v>-3.9311426511395048E-2</v>
      </c>
      <c r="AN277" s="41">
        <f t="shared" si="201"/>
        <v>-2.2523788257416295</v>
      </c>
      <c r="AO277" s="42">
        <f t="shared" si="202"/>
        <v>3.9311426511395048E-2</v>
      </c>
      <c r="AP277" s="41">
        <f t="shared" si="217"/>
        <v>-0.24849426429295876</v>
      </c>
      <c r="AQ277" s="41">
        <f t="shared" si="218"/>
        <v>-3.9544866504716281E-2</v>
      </c>
      <c r="AR277" s="43">
        <f t="shared" si="182"/>
        <v>0.3535693986092342</v>
      </c>
      <c r="AS277" s="41">
        <f t="shared" si="183"/>
        <v>20.258034305287797</v>
      </c>
      <c r="AU277" s="48">
        <f t="shared" si="219"/>
        <v>3.9152280074757656E-2</v>
      </c>
      <c r="AV277" s="48">
        <f t="shared" si="203"/>
        <v>2.243260406597761</v>
      </c>
      <c r="AW277" s="49">
        <f t="shared" si="204"/>
        <v>0.31441711853447651</v>
      </c>
      <c r="AX277" s="48">
        <f t="shared" si="220"/>
        <v>-0.31231621031434942</v>
      </c>
      <c r="AY277" s="48">
        <f t="shared" si="221"/>
        <v>-0.31654459455942585</v>
      </c>
      <c r="AZ277" s="50">
        <f t="shared" si="205"/>
        <v>-2.6190934674570621E-3</v>
      </c>
      <c r="BA277" s="48">
        <f t="shared" si="206"/>
        <v>-0.15006300183557408</v>
      </c>
      <c r="BB277" s="52">
        <f t="shared" si="222"/>
        <v>-3.8875286419307958E-2</v>
      </c>
      <c r="BC277" s="44">
        <f t="shared" si="207"/>
        <v>3.9152280074757656E-2</v>
      </c>
    </row>
    <row r="278" spans="4:55" x14ac:dyDescent="0.3">
      <c r="D278">
        <f t="shared" si="208"/>
        <v>2.7599999999999851</v>
      </c>
      <c r="F278" s="5">
        <f t="shared" si="184"/>
        <v>0.87079633981622762</v>
      </c>
      <c r="G278" s="6">
        <f t="shared" si="185"/>
        <v>49.892955086909687</v>
      </c>
      <c r="I278" s="9">
        <f t="shared" si="186"/>
        <v>0.87092173295825281</v>
      </c>
      <c r="J278" s="9">
        <f t="shared" si="187"/>
        <v>49.900139584727619</v>
      </c>
      <c r="K278" s="9">
        <f t="shared" si="188"/>
        <v>-6.0359012715033646</v>
      </c>
      <c r="L278" s="9">
        <f t="shared" si="189"/>
        <v>-0.1053463505130459</v>
      </c>
      <c r="M278" s="11">
        <f t="shared" si="179"/>
        <v>3.881428979566337E-3</v>
      </c>
      <c r="O278" s="15">
        <f t="shared" si="190"/>
        <v>0.87257692568973255</v>
      </c>
      <c r="P278" s="15">
        <f t="shared" si="191"/>
        <v>49.994975142522136</v>
      </c>
      <c r="Q278" s="15">
        <v>-6.0359012715033602</v>
      </c>
      <c r="R278" s="15">
        <f t="shared" si="192"/>
        <v>-0.10534635051304582</v>
      </c>
      <c r="S278" s="16">
        <f t="shared" si="180"/>
        <v>1.9530889571650611E-4</v>
      </c>
      <c r="U278" s="23">
        <f t="shared" si="209"/>
        <v>0.87014393973208004</v>
      </c>
      <c r="V278" s="23">
        <f t="shared" si="193"/>
        <v>49.855575315534054</v>
      </c>
      <c r="W278" s="23">
        <f t="shared" si="194"/>
        <v>2.5206862650847262E-3</v>
      </c>
      <c r="X278" s="23">
        <f t="shared" si="210"/>
        <v>5.0072019460938116E-2</v>
      </c>
      <c r="Y278" s="23">
        <f t="shared" si="211"/>
        <v>-2.4427061453891064E-3</v>
      </c>
      <c r="Z278" s="26">
        <f t="shared" si="195"/>
        <v>-0.10517319792131874</v>
      </c>
      <c r="AA278" s="23">
        <f t="shared" si="196"/>
        <v>-6.0259803587856462</v>
      </c>
      <c r="AB278" s="24">
        <f t="shared" si="212"/>
        <v>2.4192619503886625E-3</v>
      </c>
      <c r="AD278" s="33">
        <f t="shared" si="213"/>
        <v>0.87304147122326126</v>
      </c>
      <c r="AE278" s="33">
        <f t="shared" si="197"/>
        <v>50.02159164098498</v>
      </c>
      <c r="AF278" s="33">
        <f t="shared" si="198"/>
        <v>-3.7684522609648941E-4</v>
      </c>
      <c r="AG278" s="33">
        <f t="shared" si="214"/>
        <v>5.3062050761371361E-2</v>
      </c>
      <c r="AH278" s="33">
        <f t="shared" si="215"/>
        <v>3.6518711685751271E-4</v>
      </c>
      <c r="AI278" s="35">
        <f t="shared" si="181"/>
        <v>-0.10537223700613403</v>
      </c>
      <c r="AJ278" s="33">
        <f t="shared" si="199"/>
        <v>-6.0373844583037091</v>
      </c>
      <c r="AK278" s="37">
        <f t="shared" si="216"/>
        <v>-3.6168218524923468E-4</v>
      </c>
      <c r="AM278" s="41">
        <f t="shared" si="200"/>
        <v>-3.891990371064747E-2</v>
      </c>
      <c r="AN278" s="41">
        <f t="shared" si="201"/>
        <v>-2.229946221675652</v>
      </c>
      <c r="AO278" s="42">
        <f t="shared" si="202"/>
        <v>3.891990371064747E-2</v>
      </c>
      <c r="AP278" s="41">
        <f t="shared" si="217"/>
        <v>-0.2481050652558523</v>
      </c>
      <c r="AQ278" s="41">
        <f t="shared" si="218"/>
        <v>-3.9152280074757767E-2</v>
      </c>
      <c r="AR278" s="43">
        <f t="shared" si="182"/>
        <v>0.35004675703171695</v>
      </c>
      <c r="AS278" s="41">
        <f t="shared" si="183"/>
        <v>20.056201810158754</v>
      </c>
      <c r="AU278" s="48">
        <f t="shared" si="219"/>
        <v>3.8763527210564579E-2</v>
      </c>
      <c r="AV278" s="48">
        <f t="shared" si="203"/>
        <v>2.2209865082058751</v>
      </c>
      <c r="AW278" s="49">
        <f t="shared" si="204"/>
        <v>0.31128322982115236</v>
      </c>
      <c r="AX278" s="48">
        <f t="shared" si="220"/>
        <v>-0.3092033780161379</v>
      </c>
      <c r="AY278" s="48">
        <f t="shared" si="221"/>
        <v>-0.31338887133241511</v>
      </c>
      <c r="AZ278" s="50">
        <f t="shared" si="205"/>
        <v>-2.5927592533668553E-3</v>
      </c>
      <c r="BA278" s="48">
        <f t="shared" si="206"/>
        <v>-0.14855416251141129</v>
      </c>
      <c r="BB278" s="52">
        <f t="shared" si="222"/>
        <v>-3.8495345429236598E-2</v>
      </c>
      <c r="BC278" s="44">
        <f t="shared" si="207"/>
        <v>3.8763527210564579E-2</v>
      </c>
    </row>
    <row r="279" spans="4:55" x14ac:dyDescent="0.3">
      <c r="D279">
        <f t="shared" si="208"/>
        <v>2.7699999999999849</v>
      </c>
      <c r="F279" s="5">
        <f t="shared" si="184"/>
        <v>0.87083748674341044</v>
      </c>
      <c r="G279" s="6">
        <f t="shared" si="185"/>
        <v>49.895312632177195</v>
      </c>
      <c r="I279" s="9">
        <f t="shared" si="186"/>
        <v>0.8709605472480485</v>
      </c>
      <c r="J279" s="9">
        <f t="shared" si="187"/>
        <v>49.902363479717707</v>
      </c>
      <c r="K279" s="9">
        <f t="shared" si="188"/>
        <v>-6.0359012715033646</v>
      </c>
      <c r="L279" s="9">
        <f t="shared" si="189"/>
        <v>-0.1053463505130459</v>
      </c>
      <c r="M279" s="11">
        <f t="shared" si="179"/>
        <v>3.7949894185200783E-3</v>
      </c>
      <c r="O279" s="15">
        <f t="shared" si="190"/>
        <v>0.87257887877868967</v>
      </c>
      <c r="P279" s="15">
        <f t="shared" si="191"/>
        <v>49.995087046276389</v>
      </c>
      <c r="Q279" s="15">
        <v>-6.0359012715033602</v>
      </c>
      <c r="R279" s="15">
        <f t="shared" si="192"/>
        <v>-0.10534635051304582</v>
      </c>
      <c r="S279" s="16">
        <f t="shared" si="180"/>
        <v>1.9095935968160838E-4</v>
      </c>
      <c r="U279" s="23">
        <f t="shared" si="209"/>
        <v>0.87016813235158397</v>
      </c>
      <c r="V279" s="23">
        <f t="shared" si="193"/>
        <v>49.856961450526995</v>
      </c>
      <c r="W279" s="23">
        <f t="shared" si="194"/>
        <v>2.4964936455807996E-3</v>
      </c>
      <c r="X279" s="23">
        <f t="shared" si="210"/>
        <v>5.0096984397393927E-2</v>
      </c>
      <c r="Y279" s="23">
        <f t="shared" si="211"/>
        <v>-2.4192619503926593E-3</v>
      </c>
      <c r="Z279" s="26">
        <f t="shared" si="195"/>
        <v>-0.10517485977619749</v>
      </c>
      <c r="AA279" s="23">
        <f t="shared" si="196"/>
        <v>-6.0260755760563622</v>
      </c>
      <c r="AB279" s="24">
        <f t="shared" si="212"/>
        <v>2.3960427641445126E-3</v>
      </c>
      <c r="AD279" s="33">
        <f t="shared" si="213"/>
        <v>0.8730378544014088</v>
      </c>
      <c r="AE279" s="33">
        <f t="shared" si="197"/>
        <v>50.021384412357584</v>
      </c>
      <c r="AF279" s="33">
        <f t="shared" si="198"/>
        <v>-3.7322840424403037E-4</v>
      </c>
      <c r="AG279" s="33">
        <f t="shared" si="214"/>
        <v>5.305831847732892E-2</v>
      </c>
      <c r="AH279" s="33">
        <f t="shared" si="215"/>
        <v>3.6168218524590401E-4</v>
      </c>
      <c r="AI279" s="35">
        <f t="shared" si="181"/>
        <v>-0.10537198855709601</v>
      </c>
      <c r="AJ279" s="33">
        <f t="shared" si="199"/>
        <v>-6.037370223222406</v>
      </c>
      <c r="AK279" s="37">
        <f t="shared" si="216"/>
        <v>-3.582108926862837E-4</v>
      </c>
      <c r="AM279" s="41">
        <f t="shared" si="200"/>
        <v>-3.8532268438541822E-2</v>
      </c>
      <c r="AN279" s="41">
        <f t="shared" si="201"/>
        <v>-2.207736356593593</v>
      </c>
      <c r="AO279" s="42">
        <f t="shared" si="202"/>
        <v>3.8532268438541822E-2</v>
      </c>
      <c r="AP279" s="41">
        <f t="shared" si="217"/>
        <v>-0.24771974257146687</v>
      </c>
      <c r="AQ279" s="41">
        <f t="shared" si="218"/>
        <v>-3.876352721056478E-2</v>
      </c>
      <c r="AR279" s="43">
        <f t="shared" si="182"/>
        <v>0.34655915717485342</v>
      </c>
      <c r="AS279" s="41">
        <f t="shared" si="183"/>
        <v>19.856377057730043</v>
      </c>
      <c r="AU279" s="48">
        <f t="shared" si="219"/>
        <v>3.8378573756272211E-2</v>
      </c>
      <c r="AV279" s="48">
        <f t="shared" si="203"/>
        <v>2.1989302999659404</v>
      </c>
      <c r="AW279" s="49">
        <f t="shared" si="204"/>
        <v>0.30818058341858123</v>
      </c>
      <c r="AX279" s="48">
        <f t="shared" si="220"/>
        <v>-0.30612157218195207</v>
      </c>
      <c r="AY279" s="48">
        <f t="shared" si="221"/>
        <v>-0.31026464025711298</v>
      </c>
      <c r="AZ279" s="50">
        <f t="shared" si="205"/>
        <v>-2.5666992719727555E-3</v>
      </c>
      <c r="BA279" s="48">
        <f t="shared" si="206"/>
        <v>-0.14706103556333991</v>
      </c>
      <c r="BB279" s="52">
        <f t="shared" si="222"/>
        <v>-3.8118806699587615E-2</v>
      </c>
      <c r="BC279" s="44">
        <f t="shared" si="207"/>
        <v>3.8378573756272211E-2</v>
      </c>
    </row>
    <row r="280" spans="4:55" x14ac:dyDescent="0.3">
      <c r="D280">
        <f t="shared" si="208"/>
        <v>2.7799999999999847</v>
      </c>
      <c r="F280" s="5">
        <f t="shared" si="184"/>
        <v>0.8708777274552425</v>
      </c>
      <c r="G280" s="6">
        <f t="shared" si="185"/>
        <v>49.897618255129771</v>
      </c>
      <c r="I280" s="9">
        <f t="shared" si="186"/>
        <v>0.87099849714223365</v>
      </c>
      <c r="J280" s="9">
        <f t="shared" si="187"/>
        <v>49.904537848487486</v>
      </c>
      <c r="K280" s="9">
        <f t="shared" si="188"/>
        <v>-6.0359012715033646</v>
      </c>
      <c r="L280" s="9">
        <f t="shared" si="189"/>
        <v>-0.1053463505130459</v>
      </c>
      <c r="M280" s="11">
        <f t="shared" si="179"/>
        <v>3.7104748695644396E-3</v>
      </c>
      <c r="O280" s="15">
        <f t="shared" si="190"/>
        <v>0.87258078837228648</v>
      </c>
      <c r="P280" s="15">
        <f t="shared" si="191"/>
        <v>49.995196457930071</v>
      </c>
      <c r="Q280" s="15">
        <v>-6.0359012715033602</v>
      </c>
      <c r="R280" s="15">
        <f t="shared" si="192"/>
        <v>-0.10534635051304582</v>
      </c>
      <c r="S280" s="16">
        <f t="shared" si="180"/>
        <v>1.8670668796838541E-4</v>
      </c>
      <c r="U280" s="23">
        <f t="shared" si="209"/>
        <v>0.87019209277922538</v>
      </c>
      <c r="V280" s="23">
        <f t="shared" si="193"/>
        <v>49.858334281906174</v>
      </c>
      <c r="W280" s="23">
        <f t="shared" si="194"/>
        <v>2.4725332179393877E-3</v>
      </c>
      <c r="X280" s="23">
        <f t="shared" si="210"/>
        <v>5.0121709729573319E-2</v>
      </c>
      <c r="Y280" s="23">
        <f t="shared" si="211"/>
        <v>-2.3960427641411819E-3</v>
      </c>
      <c r="Z280" s="26">
        <f t="shared" si="195"/>
        <v>-0.10517650568120471</v>
      </c>
      <c r="AA280" s="23">
        <f t="shared" si="196"/>
        <v>-6.0261698794667549</v>
      </c>
      <c r="AB280" s="24">
        <f t="shared" si="212"/>
        <v>2.3730464271132234E-3</v>
      </c>
      <c r="AD280" s="33">
        <f t="shared" si="213"/>
        <v>0.87303427229248198</v>
      </c>
      <c r="AE280" s="33">
        <f t="shared" si="197"/>
        <v>50.021179172634326</v>
      </c>
      <c r="AF280" s="33">
        <f t="shared" si="198"/>
        <v>-3.6964629531721638E-4</v>
      </c>
      <c r="AG280" s="33">
        <f t="shared" si="214"/>
        <v>5.3054622014375746E-2</v>
      </c>
      <c r="AH280" s="33">
        <f t="shared" si="215"/>
        <v>3.5821089268139872E-4</v>
      </c>
      <c r="AI280" s="35">
        <f t="shared" si="181"/>
        <v>-0.10537174249258047</v>
      </c>
      <c r="AJ280" s="33">
        <f t="shared" si="199"/>
        <v>-6.0373561247641776</v>
      </c>
      <c r="AK280" s="37">
        <f t="shared" si="216"/>
        <v>-3.5477291631158536E-4</v>
      </c>
      <c r="AM280" s="41">
        <f t="shared" si="200"/>
        <v>-3.8148482700979099E-2</v>
      </c>
      <c r="AN280" s="41">
        <f t="shared" si="201"/>
        <v>-2.1857470535939338</v>
      </c>
      <c r="AO280" s="42">
        <f t="shared" si="202"/>
        <v>3.8148482700979099E-2</v>
      </c>
      <c r="AP280" s="41">
        <f t="shared" si="217"/>
        <v>-0.24733825774445709</v>
      </c>
      <c r="AQ280" s="41">
        <f t="shared" si="218"/>
        <v>-3.8378573756272377E-2</v>
      </c>
      <c r="AR280" s="43">
        <f t="shared" si="182"/>
        <v>0.34310625325351862</v>
      </c>
      <c r="AS280" s="41">
        <f t="shared" si="183"/>
        <v>19.658540235973387</v>
      </c>
      <c r="AU280" s="48">
        <f t="shared" si="219"/>
        <v>3.7997385689276332E-2</v>
      </c>
      <c r="AV280" s="48">
        <f t="shared" si="203"/>
        <v>2.1770898325263262</v>
      </c>
      <c r="AW280" s="49">
        <f t="shared" si="204"/>
        <v>0.30510886756424227</v>
      </c>
      <c r="AX280" s="48">
        <f t="shared" si="220"/>
        <v>-0.30307048350630966</v>
      </c>
      <c r="AY280" s="48">
        <f t="shared" si="221"/>
        <v>-0.30717158543389633</v>
      </c>
      <c r="AZ280" s="50">
        <f t="shared" si="205"/>
        <v>-2.540910188695733E-3</v>
      </c>
      <c r="BA280" s="48">
        <f t="shared" si="206"/>
        <v>-0.14558342993405513</v>
      </c>
      <c r="BB280" s="52">
        <f t="shared" si="222"/>
        <v>-3.7745655978143187E-2</v>
      </c>
      <c r="BC280" s="44">
        <f t="shared" si="207"/>
        <v>3.7997385689276332E-2</v>
      </c>
    </row>
    <row r="281" spans="4:55" x14ac:dyDescent="0.3">
      <c r="D281">
        <f t="shared" si="208"/>
        <v>2.7899999999999845</v>
      </c>
      <c r="F281" s="5">
        <f t="shared" si="184"/>
        <v>0.87091708191011008</v>
      </c>
      <c r="G281" s="6">
        <f t="shared" si="185"/>
        <v>49.899873099298723</v>
      </c>
      <c r="I281" s="9">
        <f t="shared" si="186"/>
        <v>0.87103560189092932</v>
      </c>
      <c r="J281" s="9">
        <f t="shared" si="187"/>
        <v>49.90666379398764</v>
      </c>
      <c r="K281" s="9">
        <f t="shared" si="188"/>
        <v>-6.0359012715033646</v>
      </c>
      <c r="L281" s="9">
        <f t="shared" si="189"/>
        <v>-0.1053463505130459</v>
      </c>
      <c r="M281" s="11">
        <f t="shared" si="179"/>
        <v>3.6278424626112749E-3</v>
      </c>
      <c r="O281" s="15">
        <f t="shared" si="190"/>
        <v>0.87258265543916613</v>
      </c>
      <c r="P281" s="15">
        <f t="shared" si="191"/>
        <v>49.995303432982347</v>
      </c>
      <c r="Q281" s="15">
        <v>-6.0359012715033602</v>
      </c>
      <c r="R281" s="15">
        <f t="shared" si="192"/>
        <v>-0.10534635051304582</v>
      </c>
      <c r="S281" s="16">
        <f t="shared" si="180"/>
        <v>1.8254872340484063E-4</v>
      </c>
      <c r="U281" s="23">
        <f t="shared" si="209"/>
        <v>0.87021582324349656</v>
      </c>
      <c r="V281" s="23">
        <f t="shared" si="193"/>
        <v>49.859693937354798</v>
      </c>
      <c r="W281" s="23">
        <f t="shared" si="194"/>
        <v>2.4488027536682111E-3</v>
      </c>
      <c r="X281" s="23">
        <f t="shared" si="210"/>
        <v>5.0146197757110003E-2</v>
      </c>
      <c r="Y281" s="23">
        <f t="shared" si="211"/>
        <v>-2.3730464271176643E-3</v>
      </c>
      <c r="Z281" s="26">
        <f t="shared" si="195"/>
        <v>-0.10517813578942084</v>
      </c>
      <c r="AA281" s="23">
        <f t="shared" si="196"/>
        <v>-6.026263277787689</v>
      </c>
      <c r="AB281" s="24">
        <f t="shared" si="212"/>
        <v>2.3502708004592421E-3</v>
      </c>
      <c r="AD281" s="33">
        <f t="shared" si="213"/>
        <v>0.87303072456331887</v>
      </c>
      <c r="AE281" s="33">
        <f t="shared" si="197"/>
        <v>50.02097590272642</v>
      </c>
      <c r="AF281" s="33">
        <f t="shared" si="198"/>
        <v>-3.6609856615410497E-4</v>
      </c>
      <c r="AG281" s="33">
        <f t="shared" si="214"/>
        <v>5.3050961028714205E-2</v>
      </c>
      <c r="AH281" s="33">
        <f t="shared" si="215"/>
        <v>3.5477291631114127E-4</v>
      </c>
      <c r="AI281" s="35">
        <f t="shared" si="181"/>
        <v>-0.10537149878970176</v>
      </c>
      <c r="AJ281" s="33">
        <f t="shared" si="199"/>
        <v>-6.0373421616177723</v>
      </c>
      <c r="AK281" s="37">
        <f t="shared" si="216"/>
        <v>-3.5136793636714181E-4</v>
      </c>
      <c r="AM281" s="41">
        <f t="shared" si="200"/>
        <v>-3.7768508844086335E-2</v>
      </c>
      <c r="AN281" s="41">
        <f t="shared" si="201"/>
        <v>-2.1639761552686703</v>
      </c>
      <c r="AO281" s="42">
        <f t="shared" si="202"/>
        <v>3.7768508844086335E-2</v>
      </c>
      <c r="AP281" s="41">
        <f t="shared" si="217"/>
        <v>-0.24696057265601623</v>
      </c>
      <c r="AQ281" s="41">
        <f t="shared" si="218"/>
        <v>-3.7997385689276381E-2</v>
      </c>
      <c r="AR281" s="43">
        <f t="shared" si="182"/>
        <v>0.339687702751587</v>
      </c>
      <c r="AS281" s="41">
        <f t="shared" si="183"/>
        <v>19.462671720160376</v>
      </c>
      <c r="AU281" s="48">
        <f t="shared" si="219"/>
        <v>3.7619929129494897E-2</v>
      </c>
      <c r="AV281" s="48">
        <f t="shared" si="203"/>
        <v>2.1554631647013225</v>
      </c>
      <c r="AW281" s="49">
        <f t="shared" si="204"/>
        <v>0.30206777362209208</v>
      </c>
      <c r="AX281" s="48">
        <f t="shared" si="220"/>
        <v>-0.30004980577008872</v>
      </c>
      <c r="AY281" s="48">
        <f t="shared" si="221"/>
        <v>-0.30410939421501859</v>
      </c>
      <c r="AZ281" s="50">
        <f t="shared" si="205"/>
        <v>-2.5153887329316393E-3</v>
      </c>
      <c r="BA281" s="48">
        <f t="shared" si="206"/>
        <v>-0.14412115823174274</v>
      </c>
      <c r="BB281" s="52">
        <f t="shared" si="222"/>
        <v>-3.7375878149875738E-2</v>
      </c>
      <c r="BC281" s="44">
        <f t="shared" si="207"/>
        <v>3.7619929129494897E-2</v>
      </c>
    </row>
    <row r="282" spans="4:55" x14ac:dyDescent="0.3">
      <c r="D282">
        <f t="shared" si="208"/>
        <v>2.7999999999999843</v>
      </c>
      <c r="F282" s="5">
        <f t="shared" si="184"/>
        <v>0.87095556962683807</v>
      </c>
      <c r="G282" s="6">
        <f t="shared" si="185"/>
        <v>49.902078283030335</v>
      </c>
      <c r="I282" s="9">
        <f t="shared" si="186"/>
        <v>0.87107188031555549</v>
      </c>
      <c r="J282" s="9">
        <f t="shared" si="187"/>
        <v>49.908742394606101</v>
      </c>
      <c r="K282" s="9">
        <f t="shared" si="188"/>
        <v>-6.0359012715033646</v>
      </c>
      <c r="L282" s="9">
        <f t="shared" si="189"/>
        <v>-0.1053463505130459</v>
      </c>
      <c r="M282" s="11">
        <f t="shared" si="179"/>
        <v>3.5470502822918526E-3</v>
      </c>
      <c r="O282" s="15">
        <f t="shared" si="190"/>
        <v>0.87258448092640017</v>
      </c>
      <c r="P282" s="15">
        <f t="shared" si="191"/>
        <v>49.995408025696413</v>
      </c>
      <c r="Q282" s="15">
        <v>-6.0359012715033602</v>
      </c>
      <c r="R282" s="15">
        <f t="shared" si="192"/>
        <v>-0.10534635051304582</v>
      </c>
      <c r="S282" s="16">
        <f t="shared" si="180"/>
        <v>1.7848335685965999E-4</v>
      </c>
      <c r="U282" s="23">
        <f t="shared" si="209"/>
        <v>0.87023932595150111</v>
      </c>
      <c r="V282" s="23">
        <f t="shared" si="193"/>
        <v>49.861040543330589</v>
      </c>
      <c r="W282" s="23">
        <f t="shared" si="194"/>
        <v>2.4253000456636586E-3</v>
      </c>
      <c r="X282" s="23">
        <f t="shared" si="210"/>
        <v>5.017045075756664E-2</v>
      </c>
      <c r="Y282" s="23">
        <f t="shared" si="211"/>
        <v>-2.3502708004552453E-3</v>
      </c>
      <c r="Z282" s="26">
        <f t="shared" si="195"/>
        <v>-0.10517975025245832</v>
      </c>
      <c r="AA282" s="23">
        <f t="shared" si="196"/>
        <v>-6.0263557797059164</v>
      </c>
      <c r="AB282" s="24">
        <f t="shared" si="212"/>
        <v>2.3277137658990199E-3</v>
      </c>
      <c r="AD282" s="33">
        <f t="shared" si="213"/>
        <v>0.87302721088395518</v>
      </c>
      <c r="AE282" s="33">
        <f t="shared" si="197"/>
        <v>50.020774583728318</v>
      </c>
      <c r="AF282" s="33">
        <f t="shared" si="198"/>
        <v>-3.62584886790418E-4</v>
      </c>
      <c r="AG282" s="33">
        <f t="shared" si="214"/>
        <v>5.3047335179846299E-2</v>
      </c>
      <c r="AH282" s="33">
        <f t="shared" si="215"/>
        <v>3.5136793636869612E-4</v>
      </c>
      <c r="AI282" s="35">
        <f t="shared" si="181"/>
        <v>-0.1053712574257936</v>
      </c>
      <c r="AJ282" s="33">
        <f t="shared" si="199"/>
        <v>-6.0373283324845088</v>
      </c>
      <c r="AK282" s="37">
        <f t="shared" si="216"/>
        <v>-3.479956361684966E-4</v>
      </c>
      <c r="AM282" s="41">
        <f t="shared" si="200"/>
        <v>-3.7392309552791388E-2</v>
      </c>
      <c r="AN282" s="41">
        <f t="shared" si="201"/>
        <v>-2.1424215236216573</v>
      </c>
      <c r="AO282" s="42">
        <f t="shared" si="202"/>
        <v>3.7392309552791388E-2</v>
      </c>
      <c r="AP282" s="41">
        <f t="shared" si="217"/>
        <v>-0.24658664956048831</v>
      </c>
      <c r="AQ282" s="41">
        <f t="shared" si="218"/>
        <v>-3.7619929129494717E-2</v>
      </c>
      <c r="AR282" s="43">
        <f t="shared" si="182"/>
        <v>0.33630316639841917</v>
      </c>
      <c r="AS282" s="41">
        <f t="shared" si="183"/>
        <v>19.268752071515262</v>
      </c>
      <c r="AU282" s="48">
        <f t="shared" si="219"/>
        <v>3.7246170347996141E-2</v>
      </c>
      <c r="AV282" s="48">
        <f t="shared" si="203"/>
        <v>2.1340483639654915</v>
      </c>
      <c r="AW282" s="49">
        <f t="shared" si="204"/>
        <v>0.29905699605042302</v>
      </c>
      <c r="AX282" s="48">
        <f t="shared" si="220"/>
        <v>-0.29705923580958449</v>
      </c>
      <c r="AY282" s="48">
        <f t="shared" si="221"/>
        <v>-0.30107775716690655</v>
      </c>
      <c r="AZ282" s="50">
        <f t="shared" si="205"/>
        <v>-2.490131695842529E-3</v>
      </c>
      <c r="BA282" s="48">
        <f t="shared" si="206"/>
        <v>-0.14267403660353131</v>
      </c>
      <c r="BB282" s="52">
        <f t="shared" si="222"/>
        <v>-3.7009457296908257E-2</v>
      </c>
      <c r="BC282" s="44">
        <f t="shared" si="207"/>
        <v>3.7246170347996141E-2</v>
      </c>
    </row>
    <row r="283" spans="4:55" x14ac:dyDescent="0.3">
      <c r="D283">
        <f t="shared" si="208"/>
        <v>2.8099999999999841</v>
      </c>
      <c r="F283" s="5">
        <f t="shared" si="184"/>
        <v>0.87099320969437077</v>
      </c>
      <c r="G283" s="6">
        <f t="shared" si="185"/>
        <v>49.904234900040542</v>
      </c>
      <c r="I283" s="9">
        <f t="shared" si="186"/>
        <v>0.87110735081837842</v>
      </c>
      <c r="J283" s="9">
        <f t="shared" si="187"/>
        <v>49.91077470471506</v>
      </c>
      <c r="K283" s="9">
        <f t="shared" si="188"/>
        <v>-6.0359012715033646</v>
      </c>
      <c r="L283" s="9">
        <f t="shared" si="189"/>
        <v>-0.1053463505130459</v>
      </c>
      <c r="M283" s="11">
        <f t="shared" si="179"/>
        <v>3.4680573466943088E-3</v>
      </c>
      <c r="O283" s="15">
        <f t="shared" si="190"/>
        <v>0.87258626575996878</v>
      </c>
      <c r="P283" s="15">
        <f t="shared" si="191"/>
        <v>49.995510289127026</v>
      </c>
      <c r="Q283" s="15">
        <v>-6.0359012715033602</v>
      </c>
      <c r="R283" s="15">
        <f t="shared" si="192"/>
        <v>-0.10534635051304582</v>
      </c>
      <c r="S283" s="16">
        <f t="shared" si="180"/>
        <v>1.7450852617173496E-4</v>
      </c>
      <c r="U283" s="23">
        <f t="shared" si="209"/>
        <v>0.87026260308916015</v>
      </c>
      <c r="V283" s="23">
        <f t="shared" si="193"/>
        <v>49.862374225077595</v>
      </c>
      <c r="W283" s="23">
        <f t="shared" si="194"/>
        <v>2.4020229080046196E-3</v>
      </c>
      <c r="X283" s="23">
        <f t="shared" si="210"/>
        <v>5.0194470986646686E-2</v>
      </c>
      <c r="Y283" s="23">
        <f t="shared" si="211"/>
        <v>-2.3277137659039049E-3</v>
      </c>
      <c r="Z283" s="26">
        <f t="shared" si="195"/>
        <v>-0.10518134922047309</v>
      </c>
      <c r="AA283" s="23">
        <f t="shared" si="196"/>
        <v>-6.0264473938247392</v>
      </c>
      <c r="AB283" s="24">
        <f t="shared" si="212"/>
        <v>2.3053732254509907E-3</v>
      </c>
      <c r="AD283" s="33">
        <f t="shared" si="213"/>
        <v>0.87302373092759344</v>
      </c>
      <c r="AE283" s="33">
        <f t="shared" si="197"/>
        <v>50.0205751969159</v>
      </c>
      <c r="AF283" s="33">
        <f t="shared" si="198"/>
        <v>-3.5910493042867753E-4</v>
      </c>
      <c r="AG283" s="33">
        <f t="shared" si="214"/>
        <v>5.3043744130542012E-2</v>
      </c>
      <c r="AH283" s="33">
        <f t="shared" si="215"/>
        <v>3.4799563617404772E-4</v>
      </c>
      <c r="AI283" s="35">
        <f t="shared" si="181"/>
        <v>-0.10537101837840754</v>
      </c>
      <c r="AJ283" s="33">
        <f t="shared" si="199"/>
        <v>-6.0373146360781833</v>
      </c>
      <c r="AK283" s="37">
        <f t="shared" si="216"/>
        <v>-3.446557020647667E-4</v>
      </c>
      <c r="AM283" s="41">
        <f t="shared" si="200"/>
        <v>-3.7019847849311428E-2</v>
      </c>
      <c r="AN283" s="41">
        <f t="shared" si="201"/>
        <v>-2.1210810399820024</v>
      </c>
      <c r="AO283" s="42">
        <f t="shared" si="202"/>
        <v>3.7019847849311428E-2</v>
      </c>
      <c r="AP283" s="41">
        <f t="shared" si="217"/>
        <v>-0.24621645108199519</v>
      </c>
      <c r="AQ283" s="41">
        <f t="shared" si="218"/>
        <v>-3.7246170347995933E-2</v>
      </c>
      <c r="AR283" s="43">
        <f t="shared" si="182"/>
        <v>0.33295230814511834</v>
      </c>
      <c r="AS283" s="41">
        <f t="shared" si="183"/>
        <v>19.076762035854543</v>
      </c>
      <c r="AU283" s="48">
        <f t="shared" si="219"/>
        <v>3.6876075775027058E-2</v>
      </c>
      <c r="AV283" s="48">
        <f t="shared" si="203"/>
        <v>2.1128435069136668</v>
      </c>
      <c r="AW283" s="49">
        <f t="shared" si="204"/>
        <v>0.29607623237009129</v>
      </c>
      <c r="AX283" s="48">
        <f t="shared" si="220"/>
        <v>-0.29409847348588358</v>
      </c>
      <c r="AY283" s="48">
        <f t="shared" si="221"/>
        <v>-0.29807636803317328</v>
      </c>
      <c r="AZ283" s="50">
        <f t="shared" si="205"/>
        <v>-2.46513592824954E-3</v>
      </c>
      <c r="BA283" s="48">
        <f t="shared" si="206"/>
        <v>-0.14124188461476317</v>
      </c>
      <c r="BB283" s="52">
        <f t="shared" si="222"/>
        <v>-3.6646376755265893E-2</v>
      </c>
      <c r="BC283" s="44">
        <f t="shared" si="207"/>
        <v>3.6876075775027058E-2</v>
      </c>
    </row>
    <row r="284" spans="4:55" x14ac:dyDescent="0.3">
      <c r="D284">
        <f t="shared" si="208"/>
        <v>2.8199999999999839</v>
      </c>
      <c r="F284" s="5">
        <f t="shared" si="184"/>
        <v>0.87103002078124003</v>
      </c>
      <c r="G284" s="6">
        <f t="shared" si="185"/>
        <v>49.906344019957444</v>
      </c>
      <c r="I284" s="9">
        <f t="shared" si="186"/>
        <v>0.87114203139184532</v>
      </c>
      <c r="J284" s="9">
        <f t="shared" si="187"/>
        <v>49.912761755205807</v>
      </c>
      <c r="K284" s="9">
        <f t="shared" si="188"/>
        <v>-6.0359012715033646</v>
      </c>
      <c r="L284" s="9">
        <f t="shared" si="189"/>
        <v>-0.1053463505130459</v>
      </c>
      <c r="M284" s="11">
        <f t="shared" si="179"/>
        <v>3.3908235865738323E-3</v>
      </c>
      <c r="O284" s="15">
        <f t="shared" si="190"/>
        <v>0.87258801084523052</v>
      </c>
      <c r="P284" s="15">
        <f t="shared" si="191"/>
        <v>49.995610275147413</v>
      </c>
      <c r="Q284" s="15">
        <v>-6.0359012715033602</v>
      </c>
      <c r="R284" s="15">
        <f t="shared" si="192"/>
        <v>-0.10534635051304582</v>
      </c>
      <c r="S284" s="16">
        <f t="shared" si="180"/>
        <v>1.706222151043324E-4</v>
      </c>
      <c r="U284" s="23">
        <f t="shared" si="209"/>
        <v>0.87028565682141468</v>
      </c>
      <c r="V284" s="23">
        <f t="shared" si="193"/>
        <v>49.863695106637806</v>
      </c>
      <c r="W284" s="23">
        <f t="shared" si="194"/>
        <v>2.3789691757500897E-3</v>
      </c>
      <c r="X284" s="23">
        <f t="shared" si="210"/>
        <v>5.0218260678404188E-2</v>
      </c>
      <c r="Y284" s="23">
        <f t="shared" si="211"/>
        <v>-2.3053732254529891E-3</v>
      </c>
      <c r="Z284" s="26">
        <f t="shared" si="195"/>
        <v>-0.10518293284218129</v>
      </c>
      <c r="AA284" s="23">
        <f t="shared" si="196"/>
        <v>-6.0265381286649644</v>
      </c>
      <c r="AB284" s="24">
        <f t="shared" si="212"/>
        <v>2.2832471012965705E-3</v>
      </c>
      <c r="AD284" s="33">
        <f t="shared" si="213"/>
        <v>0.87302028437057277</v>
      </c>
      <c r="AE284" s="33">
        <f t="shared" si="197"/>
        <v>50.020377723744765</v>
      </c>
      <c r="AF284" s="33">
        <f t="shared" si="198"/>
        <v>-3.5565837340800766E-4</v>
      </c>
      <c r="AG284" s="33">
        <f t="shared" si="214"/>
        <v>5.3040187546807935E-2</v>
      </c>
      <c r="AH284" s="33">
        <f t="shared" si="215"/>
        <v>3.4465570206698715E-4</v>
      </c>
      <c r="AI284" s="35">
        <f t="shared" si="181"/>
        <v>-0.10537078162531019</v>
      </c>
      <c r="AJ284" s="33">
        <f t="shared" si="199"/>
        <v>-6.0373010711249186</v>
      </c>
      <c r="AK284" s="37">
        <f t="shared" si="216"/>
        <v>-3.4134782342265524E-4</v>
      </c>
      <c r="AM284" s="41">
        <f t="shared" si="200"/>
        <v>-3.665108709156116E-2</v>
      </c>
      <c r="AN284" s="41">
        <f t="shared" si="201"/>
        <v>-2.0999526049128661</v>
      </c>
      <c r="AO284" s="42">
        <f t="shared" si="202"/>
        <v>3.665108709156116E-2</v>
      </c>
      <c r="AP284" s="41">
        <f t="shared" si="217"/>
        <v>-0.24584994021107959</v>
      </c>
      <c r="AQ284" s="41">
        <f t="shared" si="218"/>
        <v>-3.6876075775026801E-2</v>
      </c>
      <c r="AR284" s="43">
        <f t="shared" si="182"/>
        <v>0.3296347951405848</v>
      </c>
      <c r="AS284" s="41">
        <f t="shared" si="183"/>
        <v>18.886682542215006</v>
      </c>
      <c r="AU284" s="48">
        <f t="shared" si="219"/>
        <v>3.65096120074744E-2</v>
      </c>
      <c r="AV284" s="48">
        <f t="shared" si="203"/>
        <v>2.0918466796884361</v>
      </c>
      <c r="AW284" s="49">
        <f t="shared" si="204"/>
        <v>0.29312518313311042</v>
      </c>
      <c r="AX284" s="48">
        <f t="shared" si="220"/>
        <v>-0.2911672216545525</v>
      </c>
      <c r="AY284" s="48">
        <f t="shared" si="221"/>
        <v>-0.29510492369808627</v>
      </c>
      <c r="AZ284" s="50">
        <f t="shared" si="205"/>
        <v>-2.4403983386254158E-3</v>
      </c>
      <c r="BA284" s="48">
        <f t="shared" si="206"/>
        <v>-0.13982452513397423</v>
      </c>
      <c r="BB284" s="52">
        <f t="shared" si="222"/>
        <v>-3.6286619168525575E-2</v>
      </c>
      <c r="BC284" s="44">
        <f t="shared" si="207"/>
        <v>3.65096120074744E-2</v>
      </c>
    </row>
    <row r="285" spans="4:55" x14ac:dyDescent="0.3">
      <c r="D285">
        <f t="shared" si="208"/>
        <v>2.8299999999999836</v>
      </c>
      <c r="F285" s="5">
        <f t="shared" si="184"/>
        <v>0.87106602114482379</v>
      </c>
      <c r="G285" s="6">
        <f t="shared" si="185"/>
        <v>49.908406688851727</v>
      </c>
      <c r="I285" s="9">
        <f t="shared" si="186"/>
        <v>0.871175939627711</v>
      </c>
      <c r="J285" s="9">
        <f t="shared" si="187"/>
        <v>49.914704554011649</v>
      </c>
      <c r="K285" s="9">
        <f t="shared" si="188"/>
        <v>-6.0359012715033646</v>
      </c>
      <c r="L285" s="9">
        <f t="shared" si="189"/>
        <v>-0.1053463505130459</v>
      </c>
      <c r="M285" s="11">
        <f t="shared" si="179"/>
        <v>3.3153098250313651E-3</v>
      </c>
      <c r="O285" s="15">
        <f t="shared" si="190"/>
        <v>0.87258971706738153</v>
      </c>
      <c r="P285" s="15">
        <f t="shared" si="191"/>
        <v>49.995708034475577</v>
      </c>
      <c r="Q285" s="15">
        <v>-6.0359012715033602</v>
      </c>
      <c r="R285" s="15">
        <f t="shared" si="192"/>
        <v>-0.10534635051304582</v>
      </c>
      <c r="S285" s="16">
        <f t="shared" si="180"/>
        <v>1.6682245232213511E-4</v>
      </c>
      <c r="U285" s="23">
        <f t="shared" si="209"/>
        <v>0.87030848929242766</v>
      </c>
      <c r="V285" s="23">
        <f t="shared" si="193"/>
        <v>49.865003310862704</v>
      </c>
      <c r="W285" s="23">
        <f t="shared" si="194"/>
        <v>2.3561367047371107E-3</v>
      </c>
      <c r="X285" s="23">
        <f t="shared" si="210"/>
        <v>5.0241822045451558E-2</v>
      </c>
      <c r="Y285" s="23">
        <f t="shared" si="211"/>
        <v>-2.2832471012979028E-3</v>
      </c>
      <c r="Z285" s="26">
        <f t="shared" si="195"/>
        <v>-0.10518450126487085</v>
      </c>
      <c r="AA285" s="23">
        <f t="shared" si="196"/>
        <v>-6.0266279926655688</v>
      </c>
      <c r="AB285" s="24">
        <f t="shared" si="212"/>
        <v>2.2613333355407939E-3</v>
      </c>
      <c r="AD285" s="33">
        <f t="shared" si="213"/>
        <v>0.87301687089233859</v>
      </c>
      <c r="AE285" s="33">
        <f t="shared" si="197"/>
        <v>50.020182145848487</v>
      </c>
      <c r="AF285" s="33">
        <f t="shared" si="198"/>
        <v>-3.5224489517382551E-4</v>
      </c>
      <c r="AG285" s="33">
        <f t="shared" si="214"/>
        <v>5.3036665097856199E-2</v>
      </c>
      <c r="AH285" s="33">
        <f t="shared" si="215"/>
        <v>3.4134782341821435E-4</v>
      </c>
      <c r="AI285" s="35">
        <f t="shared" si="181"/>
        <v>-0.10537054714448184</v>
      </c>
      <c r="AJ285" s="33">
        <f t="shared" si="199"/>
        <v>-6.0372876363630779</v>
      </c>
      <c r="AK285" s="37">
        <f t="shared" si="216"/>
        <v>-3.3807169258559533E-4</v>
      </c>
      <c r="AM285" s="41">
        <f t="shared" si="200"/>
        <v>-3.6285990971486416E-2</v>
      </c>
      <c r="AN285" s="41">
        <f t="shared" si="201"/>
        <v>-2.0790341381159814</v>
      </c>
      <c r="AO285" s="42">
        <f t="shared" si="202"/>
        <v>3.6285990971486416E-2</v>
      </c>
      <c r="AP285" s="41">
        <f t="shared" si="217"/>
        <v>-0.24548708030136474</v>
      </c>
      <c r="AQ285" s="41">
        <f t="shared" si="218"/>
        <v>-3.6509612007474407E-2</v>
      </c>
      <c r="AR285" s="43">
        <f t="shared" si="182"/>
        <v>0.32635029770738977</v>
      </c>
      <c r="AS285" s="41">
        <f t="shared" si="183"/>
        <v>18.698494701471379</v>
      </c>
      <c r="AU285" s="48">
        <f t="shared" si="219"/>
        <v>3.6146745815789146E-2</v>
      </c>
      <c r="AV285" s="48">
        <f t="shared" si="203"/>
        <v>2.071055978376886</v>
      </c>
      <c r="AW285" s="49">
        <f t="shared" si="204"/>
        <v>0.29020355189160063</v>
      </c>
      <c r="AX285" s="48">
        <f t="shared" si="220"/>
        <v>-0.28826518613563651</v>
      </c>
      <c r="AY285" s="48">
        <f t="shared" si="221"/>
        <v>-0.29216312415097923</v>
      </c>
      <c r="AZ285" s="50">
        <f t="shared" si="205"/>
        <v>-2.415915891173348E-3</v>
      </c>
      <c r="BA285" s="48">
        <f t="shared" si="206"/>
        <v>-0.13842178422281995</v>
      </c>
      <c r="BB285" s="52">
        <f t="shared" si="222"/>
        <v>-3.593016653867824E-2</v>
      </c>
      <c r="BC285" s="44">
        <f t="shared" si="207"/>
        <v>3.6146745815789146E-2</v>
      </c>
    </row>
    <row r="286" spans="4:55" x14ac:dyDescent="0.3">
      <c r="D286">
        <f t="shared" si="208"/>
        <v>2.8399999999999834</v>
      </c>
      <c r="F286" s="5">
        <f t="shared" si="184"/>
        <v>0.87110122864040151</v>
      </c>
      <c r="G286" s="6">
        <f t="shared" si="185"/>
        <v>49.910423929755559</v>
      </c>
      <c r="I286" s="9">
        <f t="shared" si="186"/>
        <v>0.87120909272596136</v>
      </c>
      <c r="J286" s="9">
        <f t="shared" si="187"/>
        <v>49.916604086619174</v>
      </c>
      <c r="K286" s="9">
        <f t="shared" si="188"/>
        <v>-6.0359012715033646</v>
      </c>
      <c r="L286" s="9">
        <f t="shared" si="189"/>
        <v>-0.1053463505130459</v>
      </c>
      <c r="M286" s="11">
        <f t="shared" si="179"/>
        <v>3.2414777576361686E-3</v>
      </c>
      <c r="O286" s="15">
        <f t="shared" si="190"/>
        <v>0.87259138529190472</v>
      </c>
      <c r="P286" s="15">
        <f t="shared" si="191"/>
        <v>49.995803616700037</v>
      </c>
      <c r="Q286" s="15">
        <v>-6.0359012715033602</v>
      </c>
      <c r="R286" s="15">
        <f t="shared" si="192"/>
        <v>-0.10534635051304582</v>
      </c>
      <c r="S286" s="16">
        <f t="shared" si="180"/>
        <v>1.6310731039204107E-4</v>
      </c>
      <c r="U286" s="23">
        <f t="shared" si="209"/>
        <v>0.87033110262578306</v>
      </c>
      <c r="V286" s="23">
        <f t="shared" si="193"/>
        <v>49.866298959424689</v>
      </c>
      <c r="W286" s="23">
        <f t="shared" si="194"/>
        <v>2.3335233713817072E-3</v>
      </c>
      <c r="X286" s="23">
        <f t="shared" si="210"/>
        <v>5.0265157279165376E-2</v>
      </c>
      <c r="Y286" s="23">
        <f t="shared" si="211"/>
        <v>-2.2613333355403498E-3</v>
      </c>
      <c r="Z286" s="26">
        <f t="shared" si="195"/>
        <v>-0.10518605463441646</v>
      </c>
      <c r="AA286" s="23">
        <f t="shared" si="196"/>
        <v>-6.0267169941845564</v>
      </c>
      <c r="AB286" s="24">
        <f t="shared" si="212"/>
        <v>2.2396298900497769E-3</v>
      </c>
      <c r="AD286" s="33">
        <f t="shared" si="213"/>
        <v>0.87301349017541274</v>
      </c>
      <c r="AE286" s="33">
        <f t="shared" si="197"/>
        <v>50.019988445036908</v>
      </c>
      <c r="AF286" s="33">
        <f t="shared" si="198"/>
        <v>-3.4886417824797622E-4</v>
      </c>
      <c r="AG286" s="33">
        <f t="shared" si="214"/>
        <v>5.3033176456073722E-2</v>
      </c>
      <c r="AH286" s="33">
        <f t="shared" si="215"/>
        <v>3.380716925849292E-4</v>
      </c>
      <c r="AI286" s="35">
        <f t="shared" si="181"/>
        <v>-0.10537031491411442</v>
      </c>
      <c r="AJ286" s="33">
        <f t="shared" si="199"/>
        <v>-6.0372743305431493</v>
      </c>
      <c r="AK286" s="37">
        <f t="shared" si="216"/>
        <v>-3.3482700484399608E-4</v>
      </c>
      <c r="AM286" s="41">
        <f t="shared" si="200"/>
        <v>-3.5924523513328525E-2</v>
      </c>
      <c r="AN286" s="41">
        <f t="shared" si="201"/>
        <v>-2.0583235783322129</v>
      </c>
      <c r="AO286" s="42">
        <f t="shared" si="202"/>
        <v>3.5924523513328525E-2</v>
      </c>
      <c r="AP286" s="41">
        <f t="shared" si="217"/>
        <v>-0.24512783506623145</v>
      </c>
      <c r="AQ286" s="41">
        <f t="shared" si="218"/>
        <v>-3.6146745815789083E-2</v>
      </c>
      <c r="AR286" s="43">
        <f t="shared" si="182"/>
        <v>0.32309848931749618</v>
      </c>
      <c r="AS286" s="41">
        <f t="shared" si="183"/>
        <v>18.512179804945244</v>
      </c>
      <c r="AU286" s="48">
        <f t="shared" si="219"/>
        <v>3.5787444150402366E-2</v>
      </c>
      <c r="AV286" s="48">
        <f t="shared" si="203"/>
        <v>2.0504695093782015</v>
      </c>
      <c r="AW286" s="49">
        <f t="shared" si="204"/>
        <v>0.28731104516709383</v>
      </c>
      <c r="AX286" s="48">
        <f t="shared" si="220"/>
        <v>-0.28539207568396557</v>
      </c>
      <c r="AY286" s="48">
        <f t="shared" si="221"/>
        <v>-0.28925067245068048</v>
      </c>
      <c r="AZ286" s="50">
        <f t="shared" si="205"/>
        <v>-2.391685604003102E-3</v>
      </c>
      <c r="BA286" s="48">
        <f t="shared" si="206"/>
        <v>-0.13703349103157486</v>
      </c>
      <c r="BB286" s="52">
        <f t="shared" si="222"/>
        <v>-3.5577000274063859E-2</v>
      </c>
      <c r="BC286" s="44">
        <f t="shared" si="207"/>
        <v>3.5787444150402366E-2</v>
      </c>
    </row>
    <row r="287" spans="4:55" x14ac:dyDescent="0.3">
      <c r="D287">
        <f t="shared" si="208"/>
        <v>2.8499999999999832</v>
      </c>
      <c r="F287" s="5">
        <f t="shared" si="184"/>
        <v>0.87113566073001003</v>
      </c>
      <c r="G287" s="6">
        <f t="shared" si="185"/>
        <v>49.912396743169943</v>
      </c>
      <c r="I287" s="9">
        <f t="shared" si="186"/>
        <v>0.87124150750353768</v>
      </c>
      <c r="J287" s="9">
        <f t="shared" si="187"/>
        <v>49.918461316568155</v>
      </c>
      <c r="K287" s="9">
        <f t="shared" si="188"/>
        <v>-6.0359012715033646</v>
      </c>
      <c r="L287" s="9">
        <f t="shared" si="189"/>
        <v>-0.1053463505130459</v>
      </c>
      <c r="M287" s="11">
        <f t="shared" si="179"/>
        <v>3.1692899330009183E-3</v>
      </c>
      <c r="O287" s="15">
        <f t="shared" si="190"/>
        <v>0.87259301636500863</v>
      </c>
      <c r="P287" s="15">
        <f t="shared" si="191"/>
        <v>49.99589707030497</v>
      </c>
      <c r="Q287" s="15">
        <v>-6.0359012715033602</v>
      </c>
      <c r="R287" s="15">
        <f t="shared" si="192"/>
        <v>-0.10534635051304582</v>
      </c>
      <c r="S287" s="16">
        <f t="shared" si="180"/>
        <v>1.5947490480394677E-4</v>
      </c>
      <c r="U287" s="23">
        <f t="shared" si="209"/>
        <v>0.87035349892468361</v>
      </c>
      <c r="V287" s="23">
        <f t="shared" si="193"/>
        <v>49.867582172828406</v>
      </c>
      <c r="W287" s="23">
        <f t="shared" si="194"/>
        <v>2.3111270724811561E-3</v>
      </c>
      <c r="X287" s="23">
        <f t="shared" si="210"/>
        <v>5.0288268549890186E-2</v>
      </c>
      <c r="Y287" s="23">
        <f t="shared" si="211"/>
        <v>-2.2396298900551059E-3</v>
      </c>
      <c r="Z287" s="26">
        <f t="shared" si="195"/>
        <v>-0.10518759309529241</v>
      </c>
      <c r="AA287" s="23">
        <f t="shared" si="196"/>
        <v>-6.0268051414996942</v>
      </c>
      <c r="AB287" s="24">
        <f t="shared" si="212"/>
        <v>2.218134746240441E-3</v>
      </c>
      <c r="AD287" s="33">
        <f t="shared" si="213"/>
        <v>0.8730101419053643</v>
      </c>
      <c r="AE287" s="33">
        <f t="shared" si="197"/>
        <v>50.019796603294466</v>
      </c>
      <c r="AF287" s="33">
        <f t="shared" si="198"/>
        <v>-3.4551590819953404E-4</v>
      </c>
      <c r="AG287" s="33">
        <f t="shared" si="214"/>
        <v>5.3029721296991725E-2</v>
      </c>
      <c r="AH287" s="33">
        <f t="shared" si="215"/>
        <v>3.3482700484421812E-4</v>
      </c>
      <c r="AI287" s="35">
        <f t="shared" si="181"/>
        <v>-0.1053700849126086</v>
      </c>
      <c r="AJ287" s="33">
        <f t="shared" si="199"/>
        <v>-6.0372611524275843</v>
      </c>
      <c r="AK287" s="37">
        <f t="shared" si="216"/>
        <v>-3.3161345842214196E-4</v>
      </c>
      <c r="AM287" s="41">
        <f t="shared" si="200"/>
        <v>-3.5566649071824503E-2</v>
      </c>
      <c r="AN287" s="41">
        <f t="shared" si="201"/>
        <v>-2.037818883238431</v>
      </c>
      <c r="AO287" s="42">
        <f t="shared" si="202"/>
        <v>3.5566649071824503E-2</v>
      </c>
      <c r="AP287" s="41">
        <f t="shared" si="217"/>
        <v>-0.2447721685755132</v>
      </c>
      <c r="AQ287" s="41">
        <f t="shared" si="218"/>
        <v>-3.5787444150402192E-2</v>
      </c>
      <c r="AR287" s="43">
        <f t="shared" si="182"/>
        <v>0.31987904656784283</v>
      </c>
      <c r="AS287" s="41">
        <f t="shared" si="183"/>
        <v>18.327719323006114</v>
      </c>
      <c r="AU287" s="48">
        <f t="shared" si="219"/>
        <v>3.5431674147661726E-2</v>
      </c>
      <c r="AV287" s="48">
        <f t="shared" si="203"/>
        <v>2.0300853897438054</v>
      </c>
      <c r="AW287" s="49">
        <f t="shared" si="204"/>
        <v>0.28444737242018109</v>
      </c>
      <c r="AX287" s="48">
        <f t="shared" si="220"/>
        <v>-0.28254760195976375</v>
      </c>
      <c r="AY287" s="48">
        <f t="shared" si="221"/>
        <v>-0.28636727469127377</v>
      </c>
      <c r="AZ287" s="50">
        <f t="shared" si="205"/>
        <v>-2.3677045473783076E-3</v>
      </c>
      <c r="BA287" s="48">
        <f t="shared" si="206"/>
        <v>-0.1356594776987099</v>
      </c>
      <c r="BB287" s="52">
        <f t="shared" si="222"/>
        <v>-3.522710123492586E-2</v>
      </c>
      <c r="BC287" s="44">
        <f t="shared" si="207"/>
        <v>3.5431674147661726E-2</v>
      </c>
    </row>
    <row r="288" spans="4:55" x14ac:dyDescent="0.3">
      <c r="D288">
        <f t="shared" si="208"/>
        <v>2.859999999999983</v>
      </c>
      <c r="F288" s="5">
        <f t="shared" si="184"/>
        <v>0.87116933449110434</v>
      </c>
      <c r="G288" s="6">
        <f t="shared" si="185"/>
        <v>49.914326107560974</v>
      </c>
      <c r="I288" s="9">
        <f t="shared" si="186"/>
        <v>0.87127320040286771</v>
      </c>
      <c r="J288" s="9">
        <f t="shared" si="187"/>
        <v>49.9202771859403</v>
      </c>
      <c r="K288" s="9">
        <f t="shared" si="188"/>
        <v>-6.0359012715033646</v>
      </c>
      <c r="L288" s="9">
        <f t="shared" si="189"/>
        <v>-0.1053463505130459</v>
      </c>
      <c r="M288" s="11">
        <f t="shared" si="179"/>
        <v>3.0987097337806802E-3</v>
      </c>
      <c r="O288" s="15">
        <f t="shared" si="190"/>
        <v>0.87259461111405667</v>
      </c>
      <c r="P288" s="15">
        <f t="shared" si="191"/>
        <v>49.995988442694802</v>
      </c>
      <c r="Q288" s="15">
        <v>-6.0359012715033602</v>
      </c>
      <c r="R288" s="15">
        <f t="shared" si="192"/>
        <v>-0.10534635051304582</v>
      </c>
      <c r="S288" s="16">
        <f t="shared" si="180"/>
        <v>1.5592339301795377E-4</v>
      </c>
      <c r="U288" s="23">
        <f t="shared" si="209"/>
        <v>0.87037568027214607</v>
      </c>
      <c r="V288" s="23">
        <f t="shared" si="193"/>
        <v>49.868853070421913</v>
      </c>
      <c r="W288" s="23">
        <f t="shared" si="194"/>
        <v>2.2889457250186984E-3</v>
      </c>
      <c r="X288" s="23">
        <f t="shared" si="210"/>
        <v>5.0311158007140373E-2</v>
      </c>
      <c r="Y288" s="23">
        <f t="shared" si="211"/>
        <v>-2.2181347462457701E-3</v>
      </c>
      <c r="Z288" s="26">
        <f t="shared" si="195"/>
        <v>-0.10518911679058691</v>
      </c>
      <c r="AA288" s="23">
        <f t="shared" si="196"/>
        <v>-6.0268924428093333</v>
      </c>
      <c r="AB288" s="24">
        <f t="shared" si="212"/>
        <v>2.1968459049157563E-3</v>
      </c>
      <c r="AD288" s="33">
        <f t="shared" si="213"/>
        <v>0.87300682577078004</v>
      </c>
      <c r="AE288" s="33">
        <f t="shared" si="197"/>
        <v>50.019606602778488</v>
      </c>
      <c r="AF288" s="33">
        <f t="shared" si="198"/>
        <v>-3.4219977361527043E-4</v>
      </c>
      <c r="AG288" s="33">
        <f t="shared" si="214"/>
        <v>5.3026299299255571E-2</v>
      </c>
      <c r="AH288" s="33">
        <f t="shared" si="215"/>
        <v>3.3161345842636081E-4</v>
      </c>
      <c r="AI288" s="35">
        <f t="shared" si="181"/>
        <v>-0.10536985711857273</v>
      </c>
      <c r="AJ288" s="33">
        <f t="shared" si="199"/>
        <v>-6.0372481007907313</v>
      </c>
      <c r="AK288" s="37">
        <f t="shared" si="216"/>
        <v>-3.2843075443400593E-4</v>
      </c>
      <c r="AM288" s="41">
        <f t="shared" si="200"/>
        <v>-3.5212332330347887E-2</v>
      </c>
      <c r="AN288" s="41">
        <f t="shared" si="201"/>
        <v>-2.0175180293409927</v>
      </c>
      <c r="AO288" s="42">
        <f t="shared" si="202"/>
        <v>3.5212332330347887E-2</v>
      </c>
      <c r="AP288" s="41">
        <f t="shared" si="217"/>
        <v>-0.24442004525220973</v>
      </c>
      <c r="AQ288" s="41">
        <f t="shared" si="218"/>
        <v>-3.5431674147661657E-2</v>
      </c>
      <c r="AR288" s="43">
        <f t="shared" si="182"/>
        <v>0.31669164915581716</v>
      </c>
      <c r="AS288" s="41">
        <f t="shared" si="183"/>
        <v>18.145094903666124</v>
      </c>
      <c r="AU288" s="48">
        <f t="shared" si="219"/>
        <v>3.5079403135312465E-2</v>
      </c>
      <c r="AV288" s="48">
        <f t="shared" si="203"/>
        <v>2.0099017474913916</v>
      </c>
      <c r="AW288" s="49">
        <f t="shared" si="204"/>
        <v>0.28161224602050472</v>
      </c>
      <c r="AX288" s="48">
        <f t="shared" si="220"/>
        <v>-0.27973147949955868</v>
      </c>
      <c r="AY288" s="48">
        <f t="shared" si="221"/>
        <v>-0.28351263996763687</v>
      </c>
      <c r="AZ288" s="50">
        <f t="shared" si="205"/>
        <v>-2.3439698420539001E-3</v>
      </c>
      <c r="BA288" s="48">
        <f t="shared" si="206"/>
        <v>-0.13429957925563465</v>
      </c>
      <c r="BB288" s="52">
        <f t="shared" si="222"/>
        <v>-3.4880449776288319E-2</v>
      </c>
      <c r="BC288" s="44">
        <f t="shared" si="207"/>
        <v>3.5079403135312465E-2</v>
      </c>
    </row>
    <row r="289" spans="4:55" x14ac:dyDescent="0.3">
      <c r="D289">
        <f t="shared" si="208"/>
        <v>2.8699999999999828</v>
      </c>
      <c r="F289" s="5">
        <f t="shared" si="184"/>
        <v>0.8712022666250272</v>
      </c>
      <c r="G289" s="6">
        <f t="shared" si="185"/>
        <v>49.91621297984512</v>
      </c>
      <c r="I289" s="9">
        <f t="shared" si="186"/>
        <v>0.87130418750020555</v>
      </c>
      <c r="J289" s="9">
        <f t="shared" si="187"/>
        <v>49.922052615837117</v>
      </c>
      <c r="K289" s="9">
        <f t="shared" si="188"/>
        <v>-6.0359012715033646</v>
      </c>
      <c r="L289" s="9">
        <f t="shared" si="189"/>
        <v>-0.1053463505130459</v>
      </c>
      <c r="M289" s="11">
        <f t="shared" si="179"/>
        <v>3.0297013581002119E-3</v>
      </c>
      <c r="O289" s="15">
        <f t="shared" si="190"/>
        <v>0.87259617034798687</v>
      </c>
      <c r="P289" s="15">
        <f t="shared" si="191"/>
        <v>49.996077780218279</v>
      </c>
      <c r="Q289" s="15">
        <v>-6.0359012715033602</v>
      </c>
      <c r="R289" s="15">
        <f t="shared" si="192"/>
        <v>-0.10534635051304582</v>
      </c>
      <c r="S289" s="16">
        <f t="shared" si="180"/>
        <v>1.52450973524898E-4</v>
      </c>
      <c r="U289" s="23">
        <f t="shared" si="209"/>
        <v>0.87039764873119518</v>
      </c>
      <c r="V289" s="23">
        <f t="shared" si="193"/>
        <v>49.870111770407838</v>
      </c>
      <c r="W289" s="23">
        <f t="shared" si="194"/>
        <v>2.266977265969583E-3</v>
      </c>
      <c r="X289" s="23">
        <f t="shared" si="210"/>
        <v>5.0333827779800069E-2</v>
      </c>
      <c r="Y289" s="23">
        <f t="shared" si="211"/>
        <v>-2.1968459049115374E-3</v>
      </c>
      <c r="Z289" s="26">
        <f t="shared" si="195"/>
        <v>-0.10519062586201475</v>
      </c>
      <c r="AA289" s="23">
        <f t="shared" si="196"/>
        <v>-6.0269789062331318</v>
      </c>
      <c r="AB289" s="24">
        <f t="shared" si="212"/>
        <v>2.1757613860640124E-3</v>
      </c>
      <c r="AD289" s="33">
        <f t="shared" si="213"/>
        <v>0.87300354146323567</v>
      </c>
      <c r="AE289" s="33">
        <f t="shared" si="197"/>
        <v>50.01941842581757</v>
      </c>
      <c r="AF289" s="33">
        <f t="shared" si="198"/>
        <v>-3.3891546607089929E-4</v>
      </c>
      <c r="AG289" s="33">
        <f t="shared" si="214"/>
        <v>5.3022910144594863E-2</v>
      </c>
      <c r="AH289" s="33">
        <f t="shared" si="215"/>
        <v>3.2843075443711456E-4</v>
      </c>
      <c r="AI289" s="35">
        <f t="shared" si="181"/>
        <v>-0.10536963151082011</v>
      </c>
      <c r="AJ289" s="33">
        <f t="shared" si="199"/>
        <v>-6.0372351744186803</v>
      </c>
      <c r="AK289" s="37">
        <f t="shared" si="216"/>
        <v>-3.2527859687037086E-4</v>
      </c>
      <c r="AM289" s="41">
        <f t="shared" si="200"/>
        <v>-3.4861538298994764E-2</v>
      </c>
      <c r="AN289" s="41">
        <f t="shared" si="201"/>
        <v>-1.9974190118660791</v>
      </c>
      <c r="AO289" s="42">
        <f t="shared" si="202"/>
        <v>3.4861538298994764E-2</v>
      </c>
      <c r="AP289" s="41">
        <f t="shared" si="217"/>
        <v>-0.24407142986921979</v>
      </c>
      <c r="AQ289" s="41">
        <f t="shared" si="218"/>
        <v>-3.5079403135312298E-2</v>
      </c>
      <c r="AR289" s="43">
        <f t="shared" si="182"/>
        <v>0.31353597985463533</v>
      </c>
      <c r="AS289" s="41">
        <f t="shared" si="183"/>
        <v>17.964288371169406</v>
      </c>
      <c r="AU289" s="48">
        <f t="shared" si="219"/>
        <v>3.4730598637549584E-2</v>
      </c>
      <c r="AV289" s="48">
        <f t="shared" si="203"/>
        <v>1.9899167218943983</v>
      </c>
      <c r="AW289" s="49">
        <f t="shared" si="204"/>
        <v>0.27880538121708576</v>
      </c>
      <c r="AX289" s="48">
        <f t="shared" si="220"/>
        <v>-0.27694342568738783</v>
      </c>
      <c r="AY289" s="48">
        <f t="shared" si="221"/>
        <v>-0.28068648034189625</v>
      </c>
      <c r="AZ289" s="50">
        <f t="shared" si="205"/>
        <v>-2.3204786576863645E-3</v>
      </c>
      <c r="BA289" s="48">
        <f t="shared" si="206"/>
        <v>-0.13295363353561118</v>
      </c>
      <c r="BB289" s="52">
        <f t="shared" si="222"/>
        <v>-3.453702578853482E-2</v>
      </c>
      <c r="BC289" s="44">
        <f t="shared" si="207"/>
        <v>3.4730598637549584E-2</v>
      </c>
    </row>
    <row r="290" spans="4:55" x14ac:dyDescent="0.3">
      <c r="D290">
        <f t="shared" si="208"/>
        <v>2.8799999999999826</v>
      </c>
      <c r="F290" s="5">
        <f t="shared" si="184"/>
        <v>0.87123447346529304</v>
      </c>
      <c r="G290" s="6">
        <f t="shared" si="185"/>
        <v>49.918058295863801</v>
      </c>
      <c r="I290" s="9">
        <f t="shared" si="186"/>
        <v>0.87133448451378659</v>
      </c>
      <c r="J290" s="9">
        <f t="shared" si="187"/>
        <v>49.92378850684716</v>
      </c>
      <c r="K290" s="9">
        <f t="shared" si="188"/>
        <v>-6.0359012715033646</v>
      </c>
      <c r="L290" s="9">
        <f t="shared" si="189"/>
        <v>-0.1053463505130459</v>
      </c>
      <c r="M290" s="11">
        <f t="shared" si="179"/>
        <v>2.9622298013942672E-3</v>
      </c>
      <c r="O290" s="15">
        <f t="shared" si="190"/>
        <v>0.87259769485772209</v>
      </c>
      <c r="P290" s="15">
        <f t="shared" si="191"/>
        <v>49.996165128191933</v>
      </c>
      <c r="Q290" s="15">
        <v>-6.0359012715033602</v>
      </c>
      <c r="R290" s="15">
        <f t="shared" si="192"/>
        <v>-0.10534635051304582</v>
      </c>
      <c r="S290" s="16">
        <f t="shared" si="180"/>
        <v>1.4905588493707711E-4</v>
      </c>
      <c r="U290" s="23">
        <f t="shared" si="209"/>
        <v>0.87041940634505588</v>
      </c>
      <c r="V290" s="23">
        <f t="shared" si="193"/>
        <v>49.871358389854329</v>
      </c>
      <c r="W290" s="23">
        <f t="shared" si="194"/>
        <v>2.2452196521088874E-3</v>
      </c>
      <c r="X290" s="23">
        <f t="shared" si="210"/>
        <v>5.035627997632116E-2</v>
      </c>
      <c r="Y290" s="23">
        <f t="shared" si="211"/>
        <v>-2.1757613860695635E-3</v>
      </c>
      <c r="Z290" s="26">
        <f t="shared" si="195"/>
        <v>-0.10519212044992975</v>
      </c>
      <c r="AA290" s="23">
        <f t="shared" si="196"/>
        <v>-6.0270645398127725</v>
      </c>
      <c r="AB290" s="24">
        <f t="shared" si="212"/>
        <v>2.1548792286600893E-3</v>
      </c>
      <c r="AD290" s="33">
        <f t="shared" si="213"/>
        <v>0.87300028867726698</v>
      </c>
      <c r="AE290" s="33">
        <f t="shared" si="197"/>
        <v>50.019232054909907</v>
      </c>
      <c r="AF290" s="33">
        <f t="shared" si="198"/>
        <v>-3.3566268010221112E-4</v>
      </c>
      <c r="AG290" s="33">
        <f t="shared" si="214"/>
        <v>5.301955351779384E-2</v>
      </c>
      <c r="AH290" s="33">
        <f t="shared" si="215"/>
        <v>3.2527859686881655E-4</v>
      </c>
      <c r="AI290" s="35">
        <f t="shared" si="181"/>
        <v>-0.1053694080683676</v>
      </c>
      <c r="AJ290" s="33">
        <f t="shared" si="199"/>
        <v>-6.0372223721091878</v>
      </c>
      <c r="AK290" s="37">
        <f t="shared" si="216"/>
        <v>-3.2215669255819535E-4</v>
      </c>
      <c r="AM290" s="41">
        <f t="shared" si="200"/>
        <v>-3.451423231261927E-2</v>
      </c>
      <c r="AN290" s="41">
        <f t="shared" si="201"/>
        <v>-1.9775198446471351</v>
      </c>
      <c r="AO290" s="42">
        <f t="shared" si="202"/>
        <v>3.451423231261927E-2</v>
      </c>
      <c r="AP290" s="41">
        <f t="shared" si="217"/>
        <v>-0.2437262875460936</v>
      </c>
      <c r="AQ290" s="41">
        <f t="shared" si="218"/>
        <v>-3.4730598637549431E-2</v>
      </c>
      <c r="AR290" s="43">
        <f t="shared" si="182"/>
        <v>0.31041172448864329</v>
      </c>
      <c r="AS290" s="41">
        <f t="shared" si="183"/>
        <v>17.785281724576961</v>
      </c>
      <c r="AU290" s="48">
        <f t="shared" si="219"/>
        <v>3.4385228379664234E-2</v>
      </c>
      <c r="AV290" s="48">
        <f t="shared" si="203"/>
        <v>1.9701284637482228</v>
      </c>
      <c r="AW290" s="49">
        <f t="shared" si="204"/>
        <v>0.27602649610897906</v>
      </c>
      <c r="AX290" s="48">
        <f t="shared" si="220"/>
        <v>-0.27418316072629806</v>
      </c>
      <c r="AY290" s="48">
        <f t="shared" si="221"/>
        <v>-0.2778885108106699</v>
      </c>
      <c r="AZ290" s="50">
        <f t="shared" si="205"/>
        <v>-2.2972282113086495E-3</v>
      </c>
      <c r="BA290" s="48">
        <f t="shared" si="206"/>
        <v>-0.13162148108637287</v>
      </c>
      <c r="BB290" s="52">
        <f t="shared" si="222"/>
        <v>-3.4196808735890802E-2</v>
      </c>
      <c r="BC290" s="44">
        <f t="shared" si="207"/>
        <v>3.4385228379664234E-2</v>
      </c>
    </row>
    <row r="291" spans="4:55" x14ac:dyDescent="0.3">
      <c r="D291">
        <f t="shared" si="208"/>
        <v>2.8899999999999824</v>
      </c>
      <c r="F291" s="5">
        <f t="shared" si="184"/>
        <v>0.8712659709856887</v>
      </c>
      <c r="G291" s="6">
        <f t="shared" si="185"/>
        <v>49.919862970847603</v>
      </c>
      <c r="I291" s="9">
        <f t="shared" si="186"/>
        <v>0.87136410681180054</v>
      </c>
      <c r="J291" s="9">
        <f t="shared" si="187"/>
        <v>49.92548573950284</v>
      </c>
      <c r="K291" s="9">
        <f t="shared" si="188"/>
        <v>-6.0359012715033646</v>
      </c>
      <c r="L291" s="9">
        <f t="shared" si="189"/>
        <v>-0.1053463505130459</v>
      </c>
      <c r="M291" s="11">
        <f t="shared" si="179"/>
        <v>2.8962608386489119E-3</v>
      </c>
      <c r="O291" s="15">
        <f t="shared" si="190"/>
        <v>0.87259918541657144</v>
      </c>
      <c r="P291" s="15">
        <f t="shared" si="191"/>
        <v>49.99625053092312</v>
      </c>
      <c r="Q291" s="15">
        <v>-6.0359012715033602</v>
      </c>
      <c r="R291" s="15">
        <f t="shared" si="192"/>
        <v>-0.10534635051304582</v>
      </c>
      <c r="S291" s="16">
        <f t="shared" si="180"/>
        <v>1.4573640509274455E-4</v>
      </c>
      <c r="U291" s="23">
        <f t="shared" si="209"/>
        <v>0.87044095513734243</v>
      </c>
      <c r="V291" s="23">
        <f t="shared" si="193"/>
        <v>49.872593044705951</v>
      </c>
      <c r="W291" s="23">
        <f t="shared" si="194"/>
        <v>2.2236708598223354E-3</v>
      </c>
      <c r="X291" s="23">
        <f t="shared" si="210"/>
        <v>5.0378516684919383E-2</v>
      </c>
      <c r="Y291" s="23">
        <f t="shared" si="211"/>
        <v>-2.1548792286552043E-3</v>
      </c>
      <c r="Z291" s="26">
        <f t="shared" si="195"/>
        <v>-0.10519360069334016</v>
      </c>
      <c r="AA291" s="23">
        <f t="shared" si="196"/>
        <v>-6.0271493515128416</v>
      </c>
      <c r="AB291" s="24">
        <f t="shared" si="212"/>
        <v>2.1341974905295658E-3</v>
      </c>
      <c r="AD291" s="33">
        <f t="shared" si="213"/>
        <v>0.87299706711034142</v>
      </c>
      <c r="AE291" s="33">
        <f t="shared" si="197"/>
        <v>50.019047472721653</v>
      </c>
      <c r="AF291" s="33">
        <f t="shared" si="198"/>
        <v>-3.3244111317665137E-4</v>
      </c>
      <c r="AG291" s="33">
        <f t="shared" si="214"/>
        <v>5.3016229106662073E-2</v>
      </c>
      <c r="AH291" s="33">
        <f t="shared" si="215"/>
        <v>3.221566925559749E-4</v>
      </c>
      <c r="AI291" s="35">
        <f t="shared" si="181"/>
        <v>-0.10536918677043362</v>
      </c>
      <c r="AJ291" s="33">
        <f t="shared" si="199"/>
        <v>-6.0372096926715555</v>
      </c>
      <c r="AK291" s="37">
        <f t="shared" si="216"/>
        <v>-3.1906475113330224E-4</v>
      </c>
      <c r="AM291" s="41">
        <f t="shared" si="200"/>
        <v>-3.4170380028822625E-2</v>
      </c>
      <c r="AN291" s="41">
        <f t="shared" si="201"/>
        <v>-1.9578185600096527</v>
      </c>
      <c r="AO291" s="42">
        <f t="shared" si="202"/>
        <v>3.4170380028822625E-2</v>
      </c>
      <c r="AP291" s="41">
        <f t="shared" si="217"/>
        <v>-0.24338458374580538</v>
      </c>
      <c r="AQ291" s="41">
        <f t="shared" si="218"/>
        <v>-3.4385228379664456E-2</v>
      </c>
      <c r="AR291" s="43">
        <f t="shared" si="182"/>
        <v>0.30731857190856177</v>
      </c>
      <c r="AS291" s="41">
        <f t="shared" si="183"/>
        <v>17.60805713634829</v>
      </c>
      <c r="AU291" s="48">
        <f t="shared" si="219"/>
        <v>3.4043260292305325E-2</v>
      </c>
      <c r="AV291" s="48">
        <f t="shared" si="203"/>
        <v>1.9505351356143963</v>
      </c>
      <c r="AW291" s="49">
        <f t="shared" si="204"/>
        <v>0.27327531161625646</v>
      </c>
      <c r="AX291" s="48">
        <f t="shared" si="220"/>
        <v>-0.2714504076101355</v>
      </c>
      <c r="AY291" s="48">
        <f t="shared" si="221"/>
        <v>-0.27511844927226026</v>
      </c>
      <c r="AZ291" s="50">
        <f t="shared" si="205"/>
        <v>-2.274215765880605E-3</v>
      </c>
      <c r="BA291" s="48">
        <f t="shared" si="206"/>
        <v>-0.13030296508707079</v>
      </c>
      <c r="BB291" s="52">
        <f t="shared" si="222"/>
        <v>-3.3859777692655739E-2</v>
      </c>
      <c r="BC291" s="44">
        <f t="shared" si="207"/>
        <v>3.4043260292305325E-2</v>
      </c>
    </row>
    <row r="292" spans="4:55" x14ac:dyDescent="0.3">
      <c r="D292">
        <f t="shared" si="208"/>
        <v>2.8999999999999821</v>
      </c>
      <c r="F292" s="5">
        <f t="shared" si="184"/>
        <v>0.87129677480819634</v>
      </c>
      <c r="G292" s="6">
        <f t="shared" si="185"/>
        <v>49.92162789987016</v>
      </c>
      <c r="I292" s="9">
        <f t="shared" si="186"/>
        <v>0.87139306942018702</v>
      </c>
      <c r="J292" s="9">
        <f t="shared" si="187"/>
        <v>49.927145174727073</v>
      </c>
      <c r="K292" s="9">
        <f t="shared" si="188"/>
        <v>-6.0359012715033646</v>
      </c>
      <c r="L292" s="9">
        <f t="shared" si="189"/>
        <v>-0.1053463505130459</v>
      </c>
      <c r="M292" s="11">
        <f t="shared" si="179"/>
        <v>2.8317610070440757E-3</v>
      </c>
      <c r="O292" s="15">
        <f t="shared" si="190"/>
        <v>0.87260064278062233</v>
      </c>
      <c r="P292" s="15">
        <f t="shared" si="191"/>
        <v>49.996334031732445</v>
      </c>
      <c r="Q292" s="15">
        <v>-6.0359012715033602</v>
      </c>
      <c r="R292" s="15">
        <f t="shared" si="192"/>
        <v>-0.10534635051304582</v>
      </c>
      <c r="S292" s="16">
        <f t="shared" si="180"/>
        <v>1.4249085018236407E-4</v>
      </c>
      <c r="U292" s="23">
        <f t="shared" si="209"/>
        <v>0.87046229711224776</v>
      </c>
      <c r="V292" s="23">
        <f t="shared" si="193"/>
        <v>49.873815849794504</v>
      </c>
      <c r="W292" s="23">
        <f t="shared" si="194"/>
        <v>2.2023288849170042E-3</v>
      </c>
      <c r="X292" s="23">
        <f t="shared" si="210"/>
        <v>5.0400539973768553E-2</v>
      </c>
      <c r="Y292" s="23">
        <f t="shared" si="211"/>
        <v>-2.1341974905331185E-3</v>
      </c>
      <c r="Z292" s="26">
        <f t="shared" si="195"/>
        <v>-0.10519506672991845</v>
      </c>
      <c r="AA292" s="23">
        <f t="shared" si="196"/>
        <v>-6.0272333492213894</v>
      </c>
      <c r="AB292" s="24">
        <f t="shared" si="212"/>
        <v>2.1137142481055804E-3</v>
      </c>
      <c r="AD292" s="33">
        <f t="shared" si="213"/>
        <v>0.87299387646283011</v>
      </c>
      <c r="AE292" s="33">
        <f t="shared" si="197"/>
        <v>50.018864662085342</v>
      </c>
      <c r="AF292" s="33">
        <f t="shared" si="198"/>
        <v>-3.2925046566534277E-4</v>
      </c>
      <c r="AG292" s="33">
        <f t="shared" si="214"/>
        <v>5.3012936602005421E-2</v>
      </c>
      <c r="AH292" s="33">
        <f t="shared" si="215"/>
        <v>3.1906475113085975E-4</v>
      </c>
      <c r="AI292" s="35">
        <f t="shared" si="181"/>
        <v>-0.10536896759643581</v>
      </c>
      <c r="AJ292" s="33">
        <f t="shared" si="199"/>
        <v>-6.0371971349265019</v>
      </c>
      <c r="AK292" s="37">
        <f t="shared" si="216"/>
        <v>-3.1600248502439143E-4</v>
      </c>
      <c r="AM292" s="41">
        <f t="shared" si="200"/>
        <v>-3.3829947425899572E-2</v>
      </c>
      <c r="AN292" s="41">
        <f t="shared" si="201"/>
        <v>-1.9383132086535086</v>
      </c>
      <c r="AO292" s="42">
        <f t="shared" si="202"/>
        <v>3.3829947425899572E-2</v>
      </c>
      <c r="AP292" s="41">
        <f t="shared" si="217"/>
        <v>-0.24304628427154637</v>
      </c>
      <c r="AQ292" s="41">
        <f t="shared" si="218"/>
        <v>-3.4043260292305338E-2</v>
      </c>
      <c r="AR292" s="43">
        <f t="shared" si="182"/>
        <v>0.30425621396669034</v>
      </c>
      <c r="AS292" s="41">
        <f t="shared" si="183"/>
        <v>17.432596950920686</v>
      </c>
      <c r="AU292" s="48">
        <f t="shared" si="219"/>
        <v>3.3704662515378764E-2</v>
      </c>
      <c r="AV292" s="48">
        <f t="shared" si="203"/>
        <v>1.9311349120439922</v>
      </c>
      <c r="AW292" s="49">
        <f t="shared" si="204"/>
        <v>0.2705515514513116</v>
      </c>
      <c r="AX292" s="48">
        <f t="shared" si="220"/>
        <v>-0.26874489209562241</v>
      </c>
      <c r="AY292" s="48">
        <f t="shared" si="221"/>
        <v>-0.27237601649448551</v>
      </c>
      <c r="AZ292" s="50">
        <f t="shared" si="205"/>
        <v>-2.2514386289059496E-3</v>
      </c>
      <c r="BA292" s="48">
        <f t="shared" si="206"/>
        <v>-0.12899793126903167</v>
      </c>
      <c r="BB292" s="52">
        <f t="shared" si="222"/>
        <v>-3.3525911377400762E-2</v>
      </c>
      <c r="BC292" s="44">
        <f t="shared" si="207"/>
        <v>3.3704662515378764E-2</v>
      </c>
    </row>
    <row r="293" spans="4:55" x14ac:dyDescent="0.3">
      <c r="D293">
        <f t="shared" si="208"/>
        <v>2.9099999999999819</v>
      </c>
      <c r="F293" s="5">
        <f t="shared" si="184"/>
        <v>0.871326900210741</v>
      </c>
      <c r="G293" s="6">
        <f t="shared" si="185"/>
        <v>49.923353958292097</v>
      </c>
      <c r="I293" s="9">
        <f t="shared" si="186"/>
        <v>0.87142138703025751</v>
      </c>
      <c r="J293" s="9">
        <f t="shared" si="187"/>
        <v>49.928767654270011</v>
      </c>
      <c r="K293" s="9">
        <f t="shared" si="188"/>
        <v>-6.0359012715033646</v>
      </c>
      <c r="L293" s="9">
        <f t="shared" si="189"/>
        <v>-0.1053463505130459</v>
      </c>
      <c r="M293" s="11">
        <f t="shared" si="179"/>
        <v>2.7686975889766874E-3</v>
      </c>
      <c r="O293" s="15">
        <f t="shared" si="190"/>
        <v>0.87260206768912418</v>
      </c>
      <c r="P293" s="15">
        <f t="shared" si="191"/>
        <v>49.996415672975793</v>
      </c>
      <c r="Q293" s="15">
        <v>-6.0359012715033602</v>
      </c>
      <c r="R293" s="15">
        <f t="shared" si="192"/>
        <v>-0.10534635051304582</v>
      </c>
      <c r="S293" s="16">
        <f t="shared" si="180"/>
        <v>1.3931757389462618E-4</v>
      </c>
      <c r="U293" s="23">
        <f t="shared" si="209"/>
        <v>0.87048343425472885</v>
      </c>
      <c r="V293" s="23">
        <f t="shared" si="193"/>
        <v>49.875026918849635</v>
      </c>
      <c r="W293" s="23">
        <f t="shared" si="194"/>
        <v>2.1811917424359173E-3</v>
      </c>
      <c r="X293" s="23">
        <f t="shared" si="210"/>
        <v>5.0422351891192915E-2</v>
      </c>
      <c r="Y293" s="23">
        <f t="shared" si="211"/>
        <v>-2.113714248108689E-3</v>
      </c>
      <c r="Z293" s="26">
        <f t="shared" si="195"/>
        <v>-0.10519651869601712</v>
      </c>
      <c r="AA293" s="23">
        <f t="shared" si="196"/>
        <v>-6.0273165407508396</v>
      </c>
      <c r="AB293" s="24">
        <f t="shared" si="212"/>
        <v>2.09342759631026E-3</v>
      </c>
      <c r="AD293" s="33">
        <f t="shared" si="213"/>
        <v>0.87299071643797987</v>
      </c>
      <c r="AE293" s="33">
        <f t="shared" si="197"/>
        <v>50.01868360599827</v>
      </c>
      <c r="AF293" s="33">
        <f t="shared" si="198"/>
        <v>-3.2609044081510774E-4</v>
      </c>
      <c r="AG293" s="33">
        <f t="shared" si="214"/>
        <v>5.3009675697597271E-2</v>
      </c>
      <c r="AH293" s="33">
        <f t="shared" si="215"/>
        <v>3.1600248502350325E-4</v>
      </c>
      <c r="AI293" s="35">
        <f t="shared" si="181"/>
        <v>-0.10536875052598944</v>
      </c>
      <c r="AJ293" s="33">
        <f t="shared" si="199"/>
        <v>-6.0371846977060679</v>
      </c>
      <c r="AK293" s="37">
        <f t="shared" si="216"/>
        <v>-3.12969609418845E-4</v>
      </c>
      <c r="AM293" s="41">
        <f t="shared" si="200"/>
        <v>-3.3492900800745781E-2</v>
      </c>
      <c r="AN293" s="41">
        <f t="shared" si="201"/>
        <v>-1.9190018595330687</v>
      </c>
      <c r="AO293" s="42">
        <f t="shared" si="202"/>
        <v>3.3492900800745781E-2</v>
      </c>
      <c r="AP293" s="41">
        <f t="shared" si="217"/>
        <v>-0.2427113552635389</v>
      </c>
      <c r="AQ293" s="41">
        <f t="shared" si="218"/>
        <v>-3.3704662515379041E-2</v>
      </c>
      <c r="AR293" s="43">
        <f t="shared" si="182"/>
        <v>0.30122434549207877</v>
      </c>
      <c r="AS293" s="41">
        <f t="shared" si="183"/>
        <v>17.25888368328668</v>
      </c>
      <c r="AU293" s="48">
        <f t="shared" si="219"/>
        <v>3.3369403401604755E-2</v>
      </c>
      <c r="AV293" s="48">
        <f t="shared" si="203"/>
        <v>1.9119259797814454</v>
      </c>
      <c r="AW293" s="49">
        <f t="shared" si="204"/>
        <v>0.267854942090474</v>
      </c>
      <c r="AX293" s="48">
        <f t="shared" si="220"/>
        <v>-0.26606634267471768</v>
      </c>
      <c r="AY293" s="48">
        <f t="shared" si="221"/>
        <v>-0.26966093608375985</v>
      </c>
      <c r="AZ293" s="50">
        <f t="shared" si="205"/>
        <v>-2.2288941510938409E-3</v>
      </c>
      <c r="BA293" s="48">
        <f t="shared" si="206"/>
        <v>-0.12770622783907151</v>
      </c>
      <c r="BB293" s="52">
        <f t="shared" si="222"/>
        <v>-3.3195188185582244E-2</v>
      </c>
      <c r="BC293" s="44">
        <f t="shared" si="207"/>
        <v>3.3369403401604755E-2</v>
      </c>
    </row>
    <row r="294" spans="4:55" x14ac:dyDescent="0.3">
      <c r="D294">
        <f t="shared" si="208"/>
        <v>2.9199999999999817</v>
      </c>
      <c r="F294" s="5">
        <f t="shared" si="184"/>
        <v>0.87135636213476853</v>
      </c>
      <c r="G294" s="6">
        <f t="shared" si="185"/>
        <v>49.925042002195212</v>
      </c>
      <c r="I294" s="9">
        <f t="shared" si="186"/>
        <v>0.87144907400614724</v>
      </c>
      <c r="J294" s="9">
        <f t="shared" si="187"/>
        <v>49.930354001135974</v>
      </c>
      <c r="K294" s="9">
        <f t="shared" si="188"/>
        <v>-6.0359012715033646</v>
      </c>
      <c r="L294" s="9">
        <f t="shared" si="189"/>
        <v>-0.1053463505130459</v>
      </c>
      <c r="M294" s="11">
        <f t="shared" si="179"/>
        <v>2.7070385954668374E-3</v>
      </c>
      <c r="O294" s="15">
        <f t="shared" si="190"/>
        <v>0.87260346086486318</v>
      </c>
      <c r="P294" s="15">
        <f t="shared" si="191"/>
        <v>49.996495496065762</v>
      </c>
      <c r="Q294" s="15">
        <v>-6.0359012715033602</v>
      </c>
      <c r="R294" s="15">
        <f t="shared" si="192"/>
        <v>-0.10534635051304582</v>
      </c>
      <c r="S294" s="16">
        <f t="shared" si="180"/>
        <v>1.3621496658222654E-4</v>
      </c>
      <c r="U294" s="23">
        <f t="shared" si="209"/>
        <v>0.87050436853069191</v>
      </c>
      <c r="V294" s="23">
        <f t="shared" si="193"/>
        <v>49.876226364509485</v>
      </c>
      <c r="W294" s="23">
        <f t="shared" si="194"/>
        <v>2.1602574664728591E-3</v>
      </c>
      <c r="X294" s="23">
        <f t="shared" si="210"/>
        <v>5.0443954465857643E-2</v>
      </c>
      <c r="Y294" s="23">
        <f t="shared" si="211"/>
        <v>-2.0934275963058191E-3</v>
      </c>
      <c r="Z294" s="26">
        <f t="shared" si="195"/>
        <v>-0.10519795672667948</v>
      </c>
      <c r="AA294" s="23">
        <f t="shared" si="196"/>
        <v>-6.0273989338386027</v>
      </c>
      <c r="AB294" s="24">
        <f t="shared" si="212"/>
        <v>2.0733356483395582E-3</v>
      </c>
      <c r="AD294" s="33">
        <f t="shared" si="213"/>
        <v>0.8729875867418857</v>
      </c>
      <c r="AE294" s="33">
        <f t="shared" si="197"/>
        <v>50.018504287620914</v>
      </c>
      <c r="AF294" s="33">
        <f t="shared" si="198"/>
        <v>-3.2296074472093483E-4</v>
      </c>
      <c r="AG294" s="33">
        <f t="shared" si="214"/>
        <v>5.300644609015006E-2</v>
      </c>
      <c r="AH294" s="33">
        <f t="shared" si="215"/>
        <v>3.1296960941729068E-4</v>
      </c>
      <c r="AI294" s="35">
        <f t="shared" si="181"/>
        <v>-0.10536853553890534</v>
      </c>
      <c r="AJ294" s="33">
        <f t="shared" si="199"/>
        <v>-6.0371723798534989</v>
      </c>
      <c r="AK294" s="37">
        <f t="shared" si="216"/>
        <v>-3.0996584223830226E-4</v>
      </c>
      <c r="AM294" s="41">
        <f t="shared" si="200"/>
        <v>-3.3159206766729732E-2</v>
      </c>
      <c r="AN294" s="41">
        <f t="shared" si="201"/>
        <v>-1.8998825997352542</v>
      </c>
      <c r="AO294" s="42">
        <f t="shared" si="202"/>
        <v>3.3159206766729732E-2</v>
      </c>
      <c r="AP294" s="41">
        <f t="shared" si="217"/>
        <v>-0.24237976319587159</v>
      </c>
      <c r="AQ294" s="41">
        <f t="shared" si="218"/>
        <v>-3.3369403401604936E-2</v>
      </c>
      <c r="AR294" s="43">
        <f t="shared" si="182"/>
        <v>0.29822266426569238</v>
      </c>
      <c r="AS294" s="41">
        <f t="shared" si="183"/>
        <v>17.086900017571086</v>
      </c>
      <c r="AU294" s="48">
        <f t="shared" si="219"/>
        <v>3.3037451519748934E-2</v>
      </c>
      <c r="AV294" s="48">
        <f t="shared" si="203"/>
        <v>1.8929065379496814</v>
      </c>
      <c r="AW294" s="49">
        <f t="shared" si="204"/>
        <v>0.26518521274594342</v>
      </c>
      <c r="AX294" s="48">
        <f t="shared" si="220"/>
        <v>-0.26341449054725824</v>
      </c>
      <c r="AY294" s="48">
        <f t="shared" si="221"/>
        <v>-0.26697293445305803</v>
      </c>
      <c r="AZ294" s="50">
        <f t="shared" si="205"/>
        <v>-2.2065797251050734E-3</v>
      </c>
      <c r="BA294" s="48">
        <f t="shared" si="206"/>
        <v>-0.12642770540765808</v>
      </c>
      <c r="BB294" s="52">
        <f t="shared" si="222"/>
        <v>-3.2867586219867538E-2</v>
      </c>
      <c r="BC294" s="44">
        <f t="shared" si="207"/>
        <v>3.3037451519748934E-2</v>
      </c>
    </row>
    <row r="295" spans="4:55" x14ac:dyDescent="0.3">
      <c r="D295">
        <f t="shared" si="208"/>
        <v>2.9299999999999815</v>
      </c>
      <c r="F295" s="5">
        <f t="shared" si="184"/>
        <v>0.87138517519265601</v>
      </c>
      <c r="G295" s="6">
        <f t="shared" si="185"/>
        <v>49.926692868807031</v>
      </c>
      <c r="I295" s="9">
        <f t="shared" si="186"/>
        <v>0.87147614439210186</v>
      </c>
      <c r="J295" s="9">
        <f t="shared" si="187"/>
        <v>49.931905020000961</v>
      </c>
      <c r="K295" s="9">
        <f t="shared" si="188"/>
        <v>-6.0359012715033646</v>
      </c>
      <c r="L295" s="9">
        <f t="shared" si="189"/>
        <v>-0.1053463505130459</v>
      </c>
      <c r="M295" s="11">
        <f t="shared" si="179"/>
        <v>2.6467527499294263E-3</v>
      </c>
      <c r="O295" s="15">
        <f t="shared" si="190"/>
        <v>0.87260482301452902</v>
      </c>
      <c r="P295" s="15">
        <f t="shared" si="191"/>
        <v>49.99657354149268</v>
      </c>
      <c r="Q295" s="15">
        <v>-6.0359012715033602</v>
      </c>
      <c r="R295" s="15">
        <f t="shared" si="192"/>
        <v>-0.10534635051304582</v>
      </c>
      <c r="S295" s="16">
        <f t="shared" si="180"/>
        <v>1.3318145444518592E-4</v>
      </c>
      <c r="U295" s="23">
        <f t="shared" si="209"/>
        <v>0.87052510188717536</v>
      </c>
      <c r="V295" s="23">
        <f t="shared" si="193"/>
        <v>49.877414298331125</v>
      </c>
      <c r="W295" s="23">
        <f t="shared" si="194"/>
        <v>2.1395241099894102E-3</v>
      </c>
      <c r="X295" s="23">
        <f t="shared" si="210"/>
        <v>5.0465349706957541E-2</v>
      </c>
      <c r="Y295" s="23">
        <f t="shared" si="211"/>
        <v>-2.0733356483448873E-3</v>
      </c>
      <c r="Z295" s="26">
        <f t="shared" si="195"/>
        <v>-0.10519938095565218</v>
      </c>
      <c r="AA295" s="23">
        <f t="shared" si="196"/>
        <v>-6.0274805361477988</v>
      </c>
      <c r="AB295" s="24">
        <f t="shared" si="212"/>
        <v>2.0534365354873962E-3</v>
      </c>
      <c r="AD295" s="33">
        <f t="shared" si="213"/>
        <v>0.87298448708346332</v>
      </c>
      <c r="AE295" s="33">
        <f t="shared" si="197"/>
        <v>50.01832669027538</v>
      </c>
      <c r="AF295" s="33">
        <f t="shared" si="198"/>
        <v>-3.1986108629855625E-4</v>
      </c>
      <c r="AG295" s="33">
        <f t="shared" si="214"/>
        <v>5.3003247479287072E-2</v>
      </c>
      <c r="AH295" s="33">
        <f t="shared" si="215"/>
        <v>3.0996584223785817E-4</v>
      </c>
      <c r="AI295" s="35">
        <f t="shared" si="181"/>
        <v>-0.10536832261518822</v>
      </c>
      <c r="AJ295" s="33">
        <f t="shared" si="199"/>
        <v>-6.0371601802231503</v>
      </c>
      <c r="AK295" s="37">
        <f t="shared" si="216"/>
        <v>-3.0699090410934993E-4</v>
      </c>
      <c r="AM295" s="41">
        <f t="shared" si="200"/>
        <v>-3.2828832251532242E-2</v>
      </c>
      <c r="AN295" s="41">
        <f t="shared" si="201"/>
        <v>-1.8809535343557573</v>
      </c>
      <c r="AO295" s="42">
        <f t="shared" si="202"/>
        <v>3.2828832251532242E-2</v>
      </c>
      <c r="AP295" s="41">
        <f t="shared" si="217"/>
        <v>-0.24205147487335626</v>
      </c>
      <c r="AQ295" s="41">
        <f t="shared" si="218"/>
        <v>-3.3037451519749017E-2</v>
      </c>
      <c r="AR295" s="43">
        <f t="shared" si="182"/>
        <v>0.2952508709955734</v>
      </c>
      <c r="AS295" s="41">
        <f t="shared" si="183"/>
        <v>16.916628805607886</v>
      </c>
      <c r="AU295" s="48">
        <f t="shared" si="219"/>
        <v>3.270877565755026E-2</v>
      </c>
      <c r="AV295" s="48">
        <f t="shared" si="203"/>
        <v>1.874074798217874</v>
      </c>
      <c r="AW295" s="49">
        <f t="shared" si="204"/>
        <v>0.26254209533802314</v>
      </c>
      <c r="AX295" s="48">
        <f t="shared" si="220"/>
        <v>-0.26078906959387799</v>
      </c>
      <c r="AY295" s="48">
        <f t="shared" si="221"/>
        <v>-0.26431174079202813</v>
      </c>
      <c r="AZ295" s="50">
        <f t="shared" si="205"/>
        <v>-2.1844927843301665E-3</v>
      </c>
      <c r="BA295" s="48">
        <f t="shared" si="206"/>
        <v>-0.1251622169189005</v>
      </c>
      <c r="BB295" s="52">
        <f t="shared" si="222"/>
        <v>-3.254308331919735E-2</v>
      </c>
      <c r="BC295" s="44">
        <f t="shared" si="207"/>
        <v>3.270877565755026E-2</v>
      </c>
    </row>
    <row r="296" spans="4:55" x14ac:dyDescent="0.3">
      <c r="D296">
        <f t="shared" si="208"/>
        <v>2.9399999999999813</v>
      </c>
      <c r="F296" s="5">
        <f t="shared" si="184"/>
        <v>0.87141335367495931</v>
      </c>
      <c r="G296" s="6">
        <f t="shared" si="185"/>
        <v>49.928307376916095</v>
      </c>
      <c r="I296" s="9">
        <f t="shared" si="186"/>
        <v>0.8715026119196011</v>
      </c>
      <c r="J296" s="9">
        <f t="shared" si="187"/>
        <v>49.933421497620813</v>
      </c>
      <c r="K296" s="9">
        <f t="shared" si="188"/>
        <v>-6.0359012715033646</v>
      </c>
      <c r="L296" s="9">
        <f t="shared" si="189"/>
        <v>-0.1053463505130459</v>
      </c>
      <c r="M296" s="11">
        <f t="shared" si="179"/>
        <v>2.5878094723099654E-3</v>
      </c>
      <c r="O296" s="15">
        <f t="shared" si="190"/>
        <v>0.87260615482907344</v>
      </c>
      <c r="P296" s="15">
        <f t="shared" si="191"/>
        <v>49.996649848845166</v>
      </c>
      <c r="Q296" s="15">
        <v>-6.0359012715033602</v>
      </c>
      <c r="R296" s="15">
        <f t="shared" si="192"/>
        <v>-0.10534635051304582</v>
      </c>
      <c r="S296" s="16">
        <f t="shared" si="180"/>
        <v>1.3021549873060145E-4</v>
      </c>
      <c r="U296" s="23">
        <f t="shared" si="209"/>
        <v>0.87054563625253023</v>
      </c>
      <c r="V296" s="23">
        <f t="shared" si="193"/>
        <v>49.878590830800938</v>
      </c>
      <c r="W296" s="23">
        <f t="shared" si="194"/>
        <v>2.1189897446345363E-3</v>
      </c>
      <c r="X296" s="23">
        <f t="shared" si="210"/>
        <v>5.0486539604403885E-2</v>
      </c>
      <c r="Y296" s="23">
        <f t="shared" si="211"/>
        <v>-2.0534365354873962E-3</v>
      </c>
      <c r="Z296" s="26">
        <f t="shared" si="195"/>
        <v>-0.10520079151539941</v>
      </c>
      <c r="AA296" s="23">
        <f t="shared" si="196"/>
        <v>-6.027561355268066</v>
      </c>
      <c r="AB296" s="24">
        <f t="shared" si="212"/>
        <v>2.033728407006441E-3</v>
      </c>
      <c r="AD296" s="33">
        <f t="shared" si="213"/>
        <v>0.87298141717442224</v>
      </c>
      <c r="AE296" s="33">
        <f t="shared" si="197"/>
        <v>50.018150797443838</v>
      </c>
      <c r="AF296" s="33">
        <f t="shared" si="198"/>
        <v>-3.1679117725746941E-4</v>
      </c>
      <c r="AG296" s="33">
        <f t="shared" si="214"/>
        <v>5.3000079567514499E-2</v>
      </c>
      <c r="AH296" s="33">
        <f t="shared" si="215"/>
        <v>3.0699090410868379E-4</v>
      </c>
      <c r="AI296" s="35">
        <f t="shared" si="181"/>
        <v>-0.1053681117350346</v>
      </c>
      <c r="AJ296" s="33">
        <f t="shared" si="199"/>
        <v>-6.0371480976803644</v>
      </c>
      <c r="AK296" s="37">
        <f t="shared" si="216"/>
        <v>-3.0404451834198376E-4</v>
      </c>
      <c r="AM296" s="41">
        <f t="shared" si="200"/>
        <v>-3.2501744494956741E-2</v>
      </c>
      <c r="AN296" s="41">
        <f t="shared" si="201"/>
        <v>-1.8622127863735787</v>
      </c>
      <c r="AO296" s="42">
        <f t="shared" si="202"/>
        <v>3.2501744494956741E-2</v>
      </c>
      <c r="AP296" s="41">
        <f t="shared" si="217"/>
        <v>-0.2417264574284067</v>
      </c>
      <c r="AQ296" s="41">
        <f t="shared" si="218"/>
        <v>-3.2708775657550038E-2</v>
      </c>
      <c r="AR296" s="43">
        <f t="shared" si="182"/>
        <v>0.29230866929201738</v>
      </c>
      <c r="AS296" s="41">
        <f t="shared" si="183"/>
        <v>16.748053065517926</v>
      </c>
      <c r="AU296" s="48">
        <f t="shared" si="219"/>
        <v>3.2383344824358284E-2</v>
      </c>
      <c r="AV296" s="48">
        <f t="shared" si="203"/>
        <v>1.8554289849525478</v>
      </c>
      <c r="AW296" s="49">
        <f t="shared" si="204"/>
        <v>0.25992532446765909</v>
      </c>
      <c r="AX296" s="48">
        <f t="shared" si="220"/>
        <v>-0.25818981634920141</v>
      </c>
      <c r="AY296" s="48">
        <f t="shared" si="221"/>
        <v>-0.26167708703640491</v>
      </c>
      <c r="AZ296" s="50">
        <f t="shared" si="205"/>
        <v>-2.1626308017333451E-3</v>
      </c>
      <c r="BA296" s="48">
        <f t="shared" si="206"/>
        <v>-0.12390961758431419</v>
      </c>
      <c r="BB296" s="52">
        <f t="shared" si="222"/>
        <v>-3.2221657085985025E-2</v>
      </c>
      <c r="BC296" s="44">
        <f t="shared" si="207"/>
        <v>3.2383344824358284E-2</v>
      </c>
    </row>
    <row r="297" spans="4:55" x14ac:dyDescent="0.3">
      <c r="D297">
        <f t="shared" si="208"/>
        <v>2.9499999999999811</v>
      </c>
      <c r="F297" s="5">
        <f t="shared" si="184"/>
        <v>0.87144091155750047</v>
      </c>
      <c r="G297" s="6">
        <f t="shared" si="185"/>
        <v>49.92988632727802</v>
      </c>
      <c r="I297" s="9">
        <f t="shared" si="186"/>
        <v>0.8715284900143242</v>
      </c>
      <c r="J297" s="9">
        <f t="shared" si="187"/>
        <v>49.934904203230289</v>
      </c>
      <c r="K297" s="9">
        <f t="shared" si="188"/>
        <v>-6.0359012715033646</v>
      </c>
      <c r="L297" s="9">
        <f t="shared" si="189"/>
        <v>-0.1053463505130459</v>
      </c>
      <c r="M297" s="11">
        <f t="shared" si="179"/>
        <v>2.5301788635743172E-3</v>
      </c>
      <c r="O297" s="15">
        <f t="shared" si="190"/>
        <v>0.87260745698406073</v>
      </c>
      <c r="P297" s="15">
        <f t="shared" si="191"/>
        <v>49.996724456830208</v>
      </c>
      <c r="Q297" s="15">
        <v>-6.0359012715033602</v>
      </c>
      <c r="R297" s="15">
        <f t="shared" si="192"/>
        <v>-0.10534635051304582</v>
      </c>
      <c r="S297" s="16">
        <f t="shared" si="180"/>
        <v>1.2731559495526845E-4</v>
      </c>
      <c r="U297" s="23">
        <f t="shared" si="209"/>
        <v>0.87056597353660026</v>
      </c>
      <c r="V297" s="23">
        <f t="shared" si="193"/>
        <v>49.879756071344907</v>
      </c>
      <c r="W297" s="23">
        <f t="shared" si="194"/>
        <v>2.0986524605645096E-3</v>
      </c>
      <c r="X297" s="23">
        <f t="shared" si="210"/>
        <v>5.0507526129009529E-2</v>
      </c>
      <c r="Y297" s="23">
        <f t="shared" si="211"/>
        <v>-2.0337284070026662E-3</v>
      </c>
      <c r="Z297" s="26">
        <f t="shared" si="195"/>
        <v>-0.10520218853711306</v>
      </c>
      <c r="AA297" s="23">
        <f t="shared" si="196"/>
        <v>-6.0276413987161463</v>
      </c>
      <c r="AB297" s="24">
        <f t="shared" si="212"/>
        <v>2.0142094298920554E-3</v>
      </c>
      <c r="AD297" s="33">
        <f t="shared" si="213"/>
        <v>0.87297837672923884</v>
      </c>
      <c r="AE297" s="33">
        <f t="shared" si="197"/>
        <v>50.017976592766985</v>
      </c>
      <c r="AF297" s="33">
        <f t="shared" si="198"/>
        <v>-3.1375073207406956E-4</v>
      </c>
      <c r="AG297" s="33">
        <f t="shared" si="214"/>
        <v>5.2996942060193758E-2</v>
      </c>
      <c r="AH297" s="33">
        <f t="shared" si="215"/>
        <v>3.0404451833998536E-4</v>
      </c>
      <c r="AI297" s="35">
        <f t="shared" si="181"/>
        <v>-0.10536790287883108</v>
      </c>
      <c r="AJ297" s="33">
        <f t="shared" si="199"/>
        <v>-6.0371361311013771</v>
      </c>
      <c r="AK297" s="37">
        <f t="shared" si="216"/>
        <v>-3.0112641090251913E-4</v>
      </c>
      <c r="AM297" s="41">
        <f t="shared" si="200"/>
        <v>-3.2177911046713158E-2</v>
      </c>
      <c r="AN297" s="41">
        <f t="shared" si="201"/>
        <v>-1.843658496524053</v>
      </c>
      <c r="AO297" s="42">
        <f t="shared" si="202"/>
        <v>3.2177911046713158E-2</v>
      </c>
      <c r="AP297" s="41">
        <f t="shared" si="217"/>
        <v>-0.24140467831793957</v>
      </c>
      <c r="AQ297" s="41">
        <f t="shared" si="218"/>
        <v>-3.2383344824358368E-2</v>
      </c>
      <c r="AR297" s="43">
        <f t="shared" si="182"/>
        <v>0.28939576564277325</v>
      </c>
      <c r="AS297" s="41">
        <f t="shared" si="183"/>
        <v>16.581155980287981</v>
      </c>
      <c r="AU297" s="48">
        <f t="shared" si="219"/>
        <v>3.2061128253498432E-2</v>
      </c>
      <c r="AV297" s="48">
        <f t="shared" si="203"/>
        <v>1.8369673353531002</v>
      </c>
      <c r="AW297" s="49">
        <f t="shared" si="204"/>
        <v>0.25733463738927481</v>
      </c>
      <c r="AX297" s="48">
        <f t="shared" si="220"/>
        <v>-0.25561646997530868</v>
      </c>
      <c r="AY297" s="48">
        <f t="shared" si="221"/>
        <v>-0.25906870783842795</v>
      </c>
      <c r="AZ297" s="50">
        <f t="shared" si="205"/>
        <v>-2.1409912887401239E-3</v>
      </c>
      <c r="BA297" s="48">
        <f t="shared" si="206"/>
        <v>-0.12266976481908411</v>
      </c>
      <c r="BB297" s="52">
        <f t="shared" si="222"/>
        <v>-3.1903284911905964E-2</v>
      </c>
      <c r="BC297" s="44">
        <f t="shared" si="207"/>
        <v>3.2061128253498432E-2</v>
      </c>
    </row>
    <row r="298" spans="4:55" x14ac:dyDescent="0.3">
      <c r="D298">
        <f t="shared" si="208"/>
        <v>2.9599999999999809</v>
      </c>
      <c r="F298" s="5">
        <f t="shared" si="184"/>
        <v>0.87146786250829977</v>
      </c>
      <c r="G298" s="6">
        <f t="shared" si="185"/>
        <v>49.931430503012685</v>
      </c>
      <c r="I298" s="9">
        <f t="shared" si="186"/>
        <v>0.87155379180295989</v>
      </c>
      <c r="J298" s="9">
        <f t="shared" si="187"/>
        <v>49.936353888933247</v>
      </c>
      <c r="K298" s="9">
        <f t="shared" si="188"/>
        <v>-6.0359012715033646</v>
      </c>
      <c r="L298" s="9">
        <f t="shared" si="189"/>
        <v>-0.1053463505130459</v>
      </c>
      <c r="M298" s="11">
        <f t="shared" si="179"/>
        <v>2.4738316905390523E-3</v>
      </c>
      <c r="O298" s="15">
        <f t="shared" si="190"/>
        <v>0.87260873014001028</v>
      </c>
      <c r="P298" s="15">
        <f t="shared" si="191"/>
        <v>49.996797403292781</v>
      </c>
      <c r="Q298" s="15">
        <v>-6.0359012715033602</v>
      </c>
      <c r="R298" s="15">
        <f t="shared" si="192"/>
        <v>-0.10534635051304582</v>
      </c>
      <c r="S298" s="16">
        <f t="shared" si="180"/>
        <v>1.2448027213984858E-4</v>
      </c>
      <c r="U298" s="23">
        <f t="shared" si="209"/>
        <v>0.87058611563089916</v>
      </c>
      <c r="V298" s="23">
        <f t="shared" si="193"/>
        <v>49.88091012833879</v>
      </c>
      <c r="W298" s="23">
        <f t="shared" si="194"/>
        <v>2.0785103662656068E-3</v>
      </c>
      <c r="X298" s="23">
        <f t="shared" si="210"/>
        <v>5.0528311232672186E-2</v>
      </c>
      <c r="Y298" s="23">
        <f t="shared" si="211"/>
        <v>-2.0142094298902791E-3</v>
      </c>
      <c r="Z298" s="26">
        <f t="shared" si="195"/>
        <v>-0.10520357215072614</v>
      </c>
      <c r="AA298" s="23">
        <f t="shared" si="196"/>
        <v>-6.0277206739366527</v>
      </c>
      <c r="AB298" s="24">
        <f t="shared" si="212"/>
        <v>1.9948777887379698E-3</v>
      </c>
      <c r="AD298" s="33">
        <f t="shared" si="213"/>
        <v>0.87297536546512977</v>
      </c>
      <c r="AE298" s="33">
        <f t="shared" si="197"/>
        <v>50.017804060042536</v>
      </c>
      <c r="AF298" s="33">
        <f t="shared" si="198"/>
        <v>-3.107394679650044E-4</v>
      </c>
      <c r="AG298" s="33">
        <f t="shared" si="214"/>
        <v>5.2993834665514106E-2</v>
      </c>
      <c r="AH298" s="33">
        <f t="shared" si="215"/>
        <v>3.0112641090651593E-4</v>
      </c>
      <c r="AI298" s="35">
        <f t="shared" si="181"/>
        <v>-0.10536769602715274</v>
      </c>
      <c r="AJ298" s="33">
        <f t="shared" si="199"/>
        <v>-6.0371242793732236</v>
      </c>
      <c r="AK298" s="37">
        <f t="shared" si="216"/>
        <v>-2.9823631038161658E-4</v>
      </c>
      <c r="AM298" s="41">
        <f t="shared" si="200"/>
        <v>-3.1857299764178171E-2</v>
      </c>
      <c r="AN298" s="41">
        <f t="shared" si="201"/>
        <v>-1.825288823170522</v>
      </c>
      <c r="AO298" s="42">
        <f t="shared" si="202"/>
        <v>3.1857299764178171E-2</v>
      </c>
      <c r="AP298" s="41">
        <f t="shared" si="217"/>
        <v>-0.24108610532029778</v>
      </c>
      <c r="AQ298" s="41">
        <f t="shared" si="218"/>
        <v>-3.2061128253498689E-2</v>
      </c>
      <c r="AR298" s="43">
        <f t="shared" si="182"/>
        <v>0.28651186938828299</v>
      </c>
      <c r="AS298" s="41">
        <f t="shared" si="183"/>
        <v>16.415920896352102</v>
      </c>
      <c r="AU298" s="48">
        <f t="shared" si="219"/>
        <v>3.1742095404379375E-2</v>
      </c>
      <c r="AV298" s="48">
        <f t="shared" si="203"/>
        <v>1.8186880995725443</v>
      </c>
      <c r="AW298" s="49">
        <f t="shared" si="204"/>
        <v>0.2547697739839036</v>
      </c>
      <c r="AX298" s="48">
        <f t="shared" si="220"/>
        <v>-0.25306877223546964</v>
      </c>
      <c r="AY298" s="48">
        <f t="shared" si="221"/>
        <v>-0.25648634053712094</v>
      </c>
      <c r="AZ298" s="50">
        <f t="shared" si="205"/>
        <v>-2.1195717941823178E-3</v>
      </c>
      <c r="BA298" s="48">
        <f t="shared" si="206"/>
        <v>-0.12144251818161839</v>
      </c>
      <c r="BB298" s="52">
        <f t="shared" si="222"/>
        <v>-3.1587944002053128E-2</v>
      </c>
      <c r="BC298" s="44">
        <f t="shared" si="207"/>
        <v>3.1742095404379375E-2</v>
      </c>
    </row>
    <row r="299" spans="4:55" x14ac:dyDescent="0.3">
      <c r="D299">
        <f t="shared" si="208"/>
        <v>2.9699999999999807</v>
      </c>
      <c r="F299" s="5">
        <f t="shared" si="184"/>
        <v>0.87149421989435427</v>
      </c>
      <c r="G299" s="6">
        <f t="shared" si="185"/>
        <v>49.932940669992604</v>
      </c>
      <c r="I299" s="9">
        <f t="shared" si="186"/>
        <v>0.8715785301198653</v>
      </c>
      <c r="J299" s="9">
        <f t="shared" si="187"/>
        <v>49.937771290084186</v>
      </c>
      <c r="K299" s="9">
        <f t="shared" si="188"/>
        <v>-6.0359012715033646</v>
      </c>
      <c r="L299" s="9">
        <f t="shared" si="189"/>
        <v>-0.1053463505130459</v>
      </c>
      <c r="M299" s="11">
        <f t="shared" si="179"/>
        <v>2.4187393710457528E-3</v>
      </c>
      <c r="O299" s="15">
        <f t="shared" si="190"/>
        <v>0.87260997494273163</v>
      </c>
      <c r="P299" s="15">
        <f t="shared" si="191"/>
        <v>49.996868725235039</v>
      </c>
      <c r="Q299" s="15">
        <v>-6.0359012715033602</v>
      </c>
      <c r="R299" s="15">
        <f t="shared" si="192"/>
        <v>-0.10534635051304582</v>
      </c>
      <c r="S299" s="16">
        <f t="shared" si="180"/>
        <v>1.2170809206413225E-4</v>
      </c>
      <c r="U299" s="23">
        <f t="shared" si="209"/>
        <v>0.87060606440878652</v>
      </c>
      <c r="V299" s="23">
        <f t="shared" si="193"/>
        <v>49.882053109118182</v>
      </c>
      <c r="W299" s="23">
        <f t="shared" si="194"/>
        <v>2.0585615883782493E-3</v>
      </c>
      <c r="X299" s="23">
        <f t="shared" si="210"/>
        <v>5.0548896848555971E-2</v>
      </c>
      <c r="Y299" s="23">
        <f t="shared" si="211"/>
        <v>-1.9948777887357494E-3</v>
      </c>
      <c r="Z299" s="26">
        <f t="shared" si="195"/>
        <v>-0.10520494248492476</v>
      </c>
      <c r="AA299" s="23">
        <f t="shared" si="196"/>
        <v>-6.0277991883027564</v>
      </c>
      <c r="AB299" s="24">
        <f t="shared" si="212"/>
        <v>1.9757316855646412E-3</v>
      </c>
      <c r="AD299" s="33">
        <f t="shared" si="213"/>
        <v>0.87297238310202596</v>
      </c>
      <c r="AE299" s="33">
        <f t="shared" si="197"/>
        <v>50.017633183223715</v>
      </c>
      <c r="AF299" s="33">
        <f t="shared" si="198"/>
        <v>-3.077571048611949E-4</v>
      </c>
      <c r="AG299" s="33">
        <f t="shared" si="214"/>
        <v>5.299075709446549E-2</v>
      </c>
      <c r="AH299" s="33">
        <f t="shared" si="215"/>
        <v>2.9823631038095044E-4</v>
      </c>
      <c r="AI299" s="35">
        <f t="shared" si="181"/>
        <v>-0.1053674911607605</v>
      </c>
      <c r="AJ299" s="33">
        <f t="shared" si="199"/>
        <v>-6.0371125413935838</v>
      </c>
      <c r="AK299" s="37">
        <f t="shared" si="216"/>
        <v>-2.9537394798628824E-4</v>
      </c>
      <c r="AM299" s="41">
        <f t="shared" si="200"/>
        <v>-3.1539878810134377E-2</v>
      </c>
      <c r="AN299" s="41">
        <f t="shared" si="201"/>
        <v>-1.8071019421747965</v>
      </c>
      <c r="AO299" s="42">
        <f t="shared" si="202"/>
        <v>3.1539878810134377E-2</v>
      </c>
      <c r="AP299" s="41">
        <f t="shared" si="217"/>
        <v>-0.24077070653219643</v>
      </c>
      <c r="AQ299" s="41">
        <f t="shared" si="218"/>
        <v>-3.1742095404379417E-2</v>
      </c>
      <c r="AR299" s="43">
        <f t="shared" si="182"/>
        <v>0.28365669269696436</v>
      </c>
      <c r="AS299" s="41">
        <f t="shared" si="183"/>
        <v>16.252331322175419</v>
      </c>
      <c r="AU299" s="48">
        <f t="shared" si="219"/>
        <v>3.1426215964358843E-2</v>
      </c>
      <c r="AV299" s="48">
        <f t="shared" si="203"/>
        <v>1.8005895408244121</v>
      </c>
      <c r="AW299" s="49">
        <f t="shared" si="204"/>
        <v>0.25223047673260551</v>
      </c>
      <c r="AX299" s="48">
        <f t="shared" si="220"/>
        <v>-0.25054646746814357</v>
      </c>
      <c r="AY299" s="48">
        <f t="shared" si="221"/>
        <v>-0.25392972512980894</v>
      </c>
      <c r="AZ299" s="50">
        <f t="shared" si="205"/>
        <v>-2.0983699032748326E-3</v>
      </c>
      <c r="BA299" s="48">
        <f t="shared" si="206"/>
        <v>-0.12022773931492269</v>
      </c>
      <c r="BB299" s="52">
        <f t="shared" si="222"/>
        <v>-3.1275611397968306E-2</v>
      </c>
      <c r="BC299" s="44">
        <f t="shared" si="207"/>
        <v>3.1426215964358843E-2</v>
      </c>
    </row>
    <row r="300" spans="4:55" x14ac:dyDescent="0.3">
      <c r="D300">
        <f t="shared" si="208"/>
        <v>2.9799999999999804</v>
      </c>
      <c r="F300" s="5">
        <f t="shared" si="184"/>
        <v>0.87151999678826808</v>
      </c>
      <c r="G300" s="6">
        <f t="shared" si="185"/>
        <v>49.934417577222824</v>
      </c>
      <c r="I300" s="9">
        <f t="shared" si="186"/>
        <v>0.87160271751357576</v>
      </c>
      <c r="J300" s="9">
        <f t="shared" si="187"/>
        <v>49.939157125661211</v>
      </c>
      <c r="K300" s="9">
        <f t="shared" si="188"/>
        <v>-6.0359012715033646</v>
      </c>
      <c r="L300" s="9">
        <f t="shared" si="189"/>
        <v>-0.1053463505130459</v>
      </c>
      <c r="M300" s="11">
        <f t="shared" si="179"/>
        <v>2.3648739594617219E-3</v>
      </c>
      <c r="O300" s="15">
        <f t="shared" si="190"/>
        <v>0.87261119202365223</v>
      </c>
      <c r="P300" s="15">
        <f t="shared" si="191"/>
        <v>49.996938458835118</v>
      </c>
      <c r="Q300" s="15">
        <v>-6.0359012715033602</v>
      </c>
      <c r="R300" s="15">
        <f t="shared" si="192"/>
        <v>-0.10534635051304582</v>
      </c>
      <c r="S300" s="16">
        <f t="shared" si="180"/>
        <v>1.1899764853717798E-4</v>
      </c>
      <c r="U300" s="23">
        <f t="shared" si="209"/>
        <v>0.87062582172564218</v>
      </c>
      <c r="V300" s="23">
        <f t="shared" si="193"/>
        <v>49.883185119988511</v>
      </c>
      <c r="W300" s="23">
        <f t="shared" si="194"/>
        <v>2.0388042715225874E-3</v>
      </c>
      <c r="X300" s="23">
        <f t="shared" si="210"/>
        <v>5.0569284891271195E-2</v>
      </c>
      <c r="Y300" s="23">
        <f t="shared" si="211"/>
        <v>-1.9757316855661955E-3</v>
      </c>
      <c r="Z300" s="26">
        <f t="shared" si="195"/>
        <v>-0.10520629966715973</v>
      </c>
      <c r="AA300" s="23">
        <f t="shared" si="196"/>
        <v>-6.02787694911685</v>
      </c>
      <c r="AB300" s="24">
        <f t="shared" si="212"/>
        <v>1.956769339644282E-3</v>
      </c>
      <c r="AD300" s="33">
        <f t="shared" si="213"/>
        <v>0.87296942936254607</v>
      </c>
      <c r="AE300" s="33">
        <f t="shared" si="197"/>
        <v>50.017463946417735</v>
      </c>
      <c r="AF300" s="33">
        <f t="shared" si="198"/>
        <v>-3.0480336538130093E-4</v>
      </c>
      <c r="AG300" s="33">
        <f t="shared" si="214"/>
        <v>5.2987709060811676E-2</v>
      </c>
      <c r="AH300" s="33">
        <f t="shared" si="215"/>
        <v>2.9537394798939687E-4</v>
      </c>
      <c r="AI300" s="35">
        <f t="shared" si="181"/>
        <v>-0.1053672882606007</v>
      </c>
      <c r="AJ300" s="33">
        <f t="shared" si="199"/>
        <v>-6.0371009160707647</v>
      </c>
      <c r="AK300" s="37">
        <f t="shared" si="216"/>
        <v>-2.9253905748838349E-4</v>
      </c>
      <c r="AM300" s="41">
        <f t="shared" si="200"/>
        <v>-3.1225616650490787E-2</v>
      </c>
      <c r="AN300" s="41">
        <f t="shared" si="201"/>
        <v>-1.7890960467665524</v>
      </c>
      <c r="AO300" s="42">
        <f t="shared" si="202"/>
        <v>3.1225616650490787E-2</v>
      </c>
      <c r="AP300" s="41">
        <f t="shared" si="217"/>
        <v>-0.24045845036569152</v>
      </c>
      <c r="AQ300" s="41">
        <f t="shared" si="218"/>
        <v>-3.142621596435892E-2</v>
      </c>
      <c r="AR300" s="43">
        <f t="shared" si="182"/>
        <v>0.28082995054054899</v>
      </c>
      <c r="AS300" s="41">
        <f t="shared" si="183"/>
        <v>16.090370926841107</v>
      </c>
      <c r="AU300" s="48">
        <f t="shared" si="219"/>
        <v>3.1113459850379159E-2</v>
      </c>
      <c r="AV300" s="48">
        <f t="shared" si="203"/>
        <v>1.7826699354764637</v>
      </c>
      <c r="AW300" s="49">
        <f t="shared" si="204"/>
        <v>0.24971649069016982</v>
      </c>
      <c r="AX300" s="48">
        <f t="shared" si="220"/>
        <v>-0.24804930256124189</v>
      </c>
      <c r="AY300" s="48">
        <f t="shared" si="221"/>
        <v>-0.25139860424356897</v>
      </c>
      <c r="AZ300" s="50">
        <f t="shared" si="205"/>
        <v>-2.0773832366380307E-3</v>
      </c>
      <c r="BA300" s="48">
        <f t="shared" si="206"/>
        <v>-0.11902529189058593</v>
      </c>
      <c r="BB300" s="52">
        <f t="shared" si="222"/>
        <v>-3.0966263999319975E-2</v>
      </c>
      <c r="BC300" s="44">
        <f t="shared" si="207"/>
        <v>3.1113459850379159E-2</v>
      </c>
    </row>
    <row r="301" spans="4:55" x14ac:dyDescent="0.3">
      <c r="D301">
        <f t="shared" si="208"/>
        <v>2.9899999999999802</v>
      </c>
      <c r="F301" s="5">
        <f t="shared" si="184"/>
        <v>0.87154520597473539</v>
      </c>
      <c r="G301" s="6">
        <f t="shared" si="185"/>
        <v>49.93586195721236</v>
      </c>
      <c r="I301" s="9">
        <f t="shared" si="186"/>
        <v>0.87162636625317036</v>
      </c>
      <c r="J301" s="9">
        <f t="shared" si="187"/>
        <v>49.940512098630791</v>
      </c>
      <c r="K301" s="9">
        <f t="shared" si="188"/>
        <v>-6.0359012715033646</v>
      </c>
      <c r="L301" s="9">
        <f t="shared" si="189"/>
        <v>-0.1053463505130459</v>
      </c>
      <c r="M301" s="11">
        <f t="shared" si="179"/>
        <v>2.31220813250399E-3</v>
      </c>
      <c r="O301" s="15">
        <f t="shared" si="190"/>
        <v>0.87261238200013758</v>
      </c>
      <c r="P301" s="15">
        <f t="shared" si="191"/>
        <v>49.997006639465447</v>
      </c>
      <c r="Q301" s="15">
        <v>-6.0359012715033602</v>
      </c>
      <c r="R301" s="15">
        <f t="shared" si="192"/>
        <v>-0.10534635051304582</v>
      </c>
      <c r="S301" s="16">
        <f t="shared" si="180"/>
        <v>1.1634756668366109E-4</v>
      </c>
      <c r="U301" s="23">
        <f t="shared" si="209"/>
        <v>0.87064538941903857</v>
      </c>
      <c r="V301" s="23">
        <f t="shared" si="193"/>
        <v>49.88430626623493</v>
      </c>
      <c r="W301" s="23">
        <f t="shared" si="194"/>
        <v>2.0192365781261934E-3</v>
      </c>
      <c r="X301" s="23">
        <f t="shared" si="210"/>
        <v>5.0589477257052456E-2</v>
      </c>
      <c r="Y301" s="23">
        <f t="shared" si="211"/>
        <v>-1.956769339639397E-3</v>
      </c>
      <c r="Z301" s="26">
        <f t="shared" si="195"/>
        <v>-0.1052076438236591</v>
      </c>
      <c r="AA301" s="23">
        <f t="shared" si="196"/>
        <v>-6.0279539636112691</v>
      </c>
      <c r="AB301" s="24">
        <f t="shared" si="212"/>
        <v>1.937988987349204E-3</v>
      </c>
      <c r="AD301" s="33">
        <f t="shared" si="213"/>
        <v>0.87296650397197117</v>
      </c>
      <c r="AE301" s="33">
        <f t="shared" si="197"/>
        <v>50.017296333884367</v>
      </c>
      <c r="AF301" s="33">
        <f t="shared" si="198"/>
        <v>-3.0187797480640821E-4</v>
      </c>
      <c r="AG301" s="33">
        <f t="shared" si="214"/>
        <v>5.2984690281063611E-2</v>
      </c>
      <c r="AH301" s="33">
        <f t="shared" si="215"/>
        <v>2.9253905748927167E-4</v>
      </c>
      <c r="AI301" s="35">
        <f t="shared" si="181"/>
        <v>-0.10536708730780185</v>
      </c>
      <c r="AJ301" s="33">
        <f t="shared" si="199"/>
        <v>-6.0370894023235095</v>
      </c>
      <c r="AK301" s="37">
        <f t="shared" si="216"/>
        <v>-2.8973137523014003E-4</v>
      </c>
      <c r="AM301" s="41">
        <f t="shared" si="200"/>
        <v>-3.0914482051986995E-2</v>
      </c>
      <c r="AN301" s="41">
        <f t="shared" si="201"/>
        <v>-1.7712693474117875</v>
      </c>
      <c r="AO301" s="42">
        <f t="shared" si="202"/>
        <v>3.0914482051986995E-2</v>
      </c>
      <c r="AP301" s="41">
        <f t="shared" si="217"/>
        <v>-0.24014930554517167</v>
      </c>
      <c r="AQ301" s="41">
        <f t="shared" si="218"/>
        <v>-3.1113459850379277E-2</v>
      </c>
      <c r="AR301" s="43">
        <f t="shared" si="182"/>
        <v>0.27803136066949069</v>
      </c>
      <c r="AS301" s="41">
        <f t="shared" si="183"/>
        <v>15.930023538641407</v>
      </c>
      <c r="AU301" s="48">
        <f t="shared" si="219"/>
        <v>3.0803797210385959E-2</v>
      </c>
      <c r="AV301" s="48">
        <f t="shared" si="203"/>
        <v>1.7649275731319742</v>
      </c>
      <c r="AW301" s="49">
        <f t="shared" si="204"/>
        <v>0.24722756345910474</v>
      </c>
      <c r="AX301" s="48">
        <f t="shared" si="220"/>
        <v>-0.24557702692665084</v>
      </c>
      <c r="AY301" s="48">
        <f t="shared" si="221"/>
        <v>-0.24889272310650856</v>
      </c>
      <c r="AZ301" s="50">
        <f t="shared" si="205"/>
        <v>-2.0566094493752463E-3</v>
      </c>
      <c r="BA301" s="48">
        <f t="shared" si="206"/>
        <v>-0.11783504155592575</v>
      </c>
      <c r="BB301" s="52">
        <f t="shared" si="222"/>
        <v>-3.0659878584080626E-2</v>
      </c>
      <c r="BC301" s="44">
        <f t="shared" si="207"/>
        <v>3.0803797210385959E-2</v>
      </c>
    </row>
    <row r="302" spans="4:55" x14ac:dyDescent="0.3">
      <c r="D302">
        <f t="shared" si="208"/>
        <v>2.99999999999998</v>
      </c>
      <c r="F302" s="5">
        <f t="shared" si="184"/>
        <v>0.87156985995688219</v>
      </c>
      <c r="G302" s="6">
        <f t="shared" si="185"/>
        <v>49.937274526337561</v>
      </c>
      <c r="I302" s="9">
        <f t="shared" si="186"/>
        <v>0.8716494883344954</v>
      </c>
      <c r="J302" s="9">
        <f t="shared" si="187"/>
        <v>49.941836896304274</v>
      </c>
      <c r="K302" s="9">
        <f t="shared" si="188"/>
        <v>-6.0359012715033646</v>
      </c>
      <c r="L302" s="9">
        <f t="shared" si="189"/>
        <v>-0.1053463505130459</v>
      </c>
      <c r="M302" s="11">
        <f t="shared" si="179"/>
        <v>2.2607151753810673E-3</v>
      </c>
      <c r="O302" s="15">
        <f t="shared" si="190"/>
        <v>0.87261354547580439</v>
      </c>
      <c r="P302" s="15">
        <f t="shared" si="191"/>
        <v>49.997073301710721</v>
      </c>
      <c r="Q302" s="15">
        <v>-6.0359012715033602</v>
      </c>
      <c r="R302" s="15">
        <f t="shared" si="192"/>
        <v>-0.10534635051304582</v>
      </c>
      <c r="S302" s="16">
        <f t="shared" si="180"/>
        <v>1.1375650224687561E-4</v>
      </c>
      <c r="U302" s="23">
        <f t="shared" si="209"/>
        <v>0.87066476930891201</v>
      </c>
      <c r="V302" s="23">
        <f t="shared" si="193"/>
        <v>49.885416652132108</v>
      </c>
      <c r="W302" s="23">
        <f t="shared" si="194"/>
        <v>1.9998566882527546E-3</v>
      </c>
      <c r="X302" s="23">
        <f t="shared" si="210"/>
        <v>5.0609475823934984E-2</v>
      </c>
      <c r="Y302" s="23">
        <f t="shared" si="211"/>
        <v>-1.9379889873438749E-3</v>
      </c>
      <c r="Z302" s="26">
        <f t="shared" si="195"/>
        <v>-0.10520897507943876</v>
      </c>
      <c r="AA302" s="23">
        <f t="shared" si="196"/>
        <v>-6.0280302389488956</v>
      </c>
      <c r="AB302" s="24">
        <f t="shared" si="212"/>
        <v>1.9193888819650784E-3</v>
      </c>
      <c r="AD302" s="33">
        <f t="shared" si="213"/>
        <v>0.87296360665821893</v>
      </c>
      <c r="AE302" s="33">
        <f t="shared" si="197"/>
        <v>50.017130330034433</v>
      </c>
      <c r="AF302" s="33">
        <f t="shared" si="198"/>
        <v>-2.989806610541601E-4</v>
      </c>
      <c r="AG302" s="33">
        <f t="shared" si="214"/>
        <v>5.2981700474453067E-2</v>
      </c>
      <c r="AH302" s="33">
        <f t="shared" si="215"/>
        <v>2.8973137522481096E-4</v>
      </c>
      <c r="AI302" s="35">
        <f t="shared" si="181"/>
        <v>-0.10536688828367394</v>
      </c>
      <c r="AJ302" s="33">
        <f t="shared" si="199"/>
        <v>-6.0370779990809593</v>
      </c>
      <c r="AK302" s="37">
        <f t="shared" si="216"/>
        <v>-2.869506400757782E-4</v>
      </c>
      <c r="AM302" s="41">
        <f t="shared" si="200"/>
        <v>-3.0606444079883135E-2</v>
      </c>
      <c r="AN302" s="41">
        <f t="shared" si="201"/>
        <v>-1.753620071680468</v>
      </c>
      <c r="AO302" s="42">
        <f t="shared" si="202"/>
        <v>3.0606444079883135E-2</v>
      </c>
      <c r="AP302" s="41">
        <f t="shared" si="217"/>
        <v>-0.23984324110437283</v>
      </c>
      <c r="AQ302" s="41">
        <f t="shared" si="218"/>
        <v>-3.080379721038598E-2</v>
      </c>
      <c r="AR302" s="43">
        <f t="shared" si="182"/>
        <v>0.27526064358844538</v>
      </c>
      <c r="AS302" s="41">
        <f t="shared" si="183"/>
        <v>15.771273143672703</v>
      </c>
      <c r="AU302" s="48">
        <f t="shared" si="219"/>
        <v>3.0497198424545152E-2</v>
      </c>
      <c r="AV302" s="48">
        <f t="shared" si="203"/>
        <v>1.7473607566994607</v>
      </c>
      <c r="AW302" s="49">
        <f t="shared" si="204"/>
        <v>0.24476344516390022</v>
      </c>
      <c r="AX302" s="48">
        <f t="shared" si="220"/>
        <v>-0.24312939247501184</v>
      </c>
      <c r="AY302" s="48">
        <f t="shared" si="221"/>
        <v>-0.24641182952045149</v>
      </c>
      <c r="AZ302" s="50">
        <f t="shared" si="205"/>
        <v>-2.036046230174518E-3</v>
      </c>
      <c r="BA302" s="48">
        <f t="shared" si="206"/>
        <v>-0.11665685588252164</v>
      </c>
      <c r="BB302" s="52">
        <f t="shared" si="222"/>
        <v>-3.0356431827808207E-2</v>
      </c>
      <c r="BC302" s="44">
        <f t="shared" si="207"/>
        <v>3.0497198424545152E-2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Hoch</dc:creator>
  <cp:lastModifiedBy>Nathan Hoch</cp:lastModifiedBy>
  <dcterms:created xsi:type="dcterms:W3CDTF">2026-02-13T19:04:35Z</dcterms:created>
  <dcterms:modified xsi:type="dcterms:W3CDTF">2026-02-23T19:51:54Z</dcterms:modified>
</cp:coreProperties>
</file>